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roj\zupu\"/>
    </mc:Choice>
  </mc:AlternateContent>
  <xr:revisionPtr revIDLastSave="0" documentId="13_ncr:1_{836BAEDC-E837-42DC-8F85-ACC12D41C146}" xr6:coauthVersionLast="47" xr6:coauthVersionMax="47" xr10:uidLastSave="{00000000-0000-0000-0000-000000000000}"/>
  <bookViews>
    <workbookView xWindow="-120" yWindow="-120" windowWidth="29040" windowHeight="15720" xr2:uid="{80D052E1-E6DE-431D-939B-EAEE1F9FCE29}"/>
  </bookViews>
  <sheets>
    <sheet name="out" sheetId="5" r:id="rId1"/>
    <sheet name="Sheet1" sheetId="1" r:id="rId2"/>
    <sheet name="Sheet2" sheetId="2" r:id="rId3"/>
    <sheet name="Sheet3" sheetId="3" r:id="rId4"/>
    <sheet name="Sheet4" sheetId="4" r:id="rId5"/>
  </sheets>
  <definedNames>
    <definedName name="_xlnm._FilterDatabase" localSheetId="0" hidden="1">out!$A$1:$AE$76</definedName>
    <definedName name="_xlnm._FilterDatabase" localSheetId="3" hidden="1">Sheet3!$A$1:$AU$76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3" l="1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2" i="3"/>
  <c r="R2" i="3"/>
  <c r="Q2" i="3"/>
  <c r="AY13" i="3"/>
  <c r="AZ13" i="3" s="1"/>
  <c r="BC11" i="3"/>
  <c r="AY9" i="3"/>
  <c r="P2" i="3"/>
  <c r="AP3" i="3" s="1"/>
  <c r="P4" i="3"/>
  <c r="AP5" i="3" s="1"/>
  <c r="P5" i="3"/>
  <c r="P6" i="3"/>
  <c r="AP7" i="3" s="1"/>
  <c r="P7" i="3"/>
  <c r="AP6" i="3" s="1"/>
  <c r="P8" i="3"/>
  <c r="AP9" i="3" s="1"/>
  <c r="P9" i="3"/>
  <c r="AP8" i="3" s="1"/>
  <c r="P10" i="3"/>
  <c r="P11" i="3"/>
  <c r="AP12" i="3" s="1"/>
  <c r="P12" i="3"/>
  <c r="AP11" i="3" s="1"/>
  <c r="P13" i="3"/>
  <c r="P14" i="3"/>
  <c r="AP15" i="3" s="1"/>
  <c r="P15" i="3"/>
  <c r="AP14" i="3" s="1"/>
  <c r="P16" i="3"/>
  <c r="P17" i="3"/>
  <c r="P18" i="3"/>
  <c r="P19" i="3"/>
  <c r="AP20" i="3" s="1"/>
  <c r="P20" i="3"/>
  <c r="AP19" i="3" s="1"/>
  <c r="P21" i="3"/>
  <c r="AP22" i="3" s="1"/>
  <c r="P22" i="3"/>
  <c r="AP21" i="3" s="1"/>
  <c r="P23" i="3"/>
  <c r="P24" i="3"/>
  <c r="AP25" i="3" s="1"/>
  <c r="P25" i="3"/>
  <c r="AP24" i="3" s="1"/>
  <c r="P26" i="3"/>
  <c r="P27" i="3"/>
  <c r="AP28" i="3" s="1"/>
  <c r="P28" i="3"/>
  <c r="AP27" i="3" s="1"/>
  <c r="P29" i="3"/>
  <c r="AP30" i="3" s="1"/>
  <c r="P30" i="3"/>
  <c r="AP29" i="3" s="1"/>
  <c r="P31" i="3"/>
  <c r="P32" i="3"/>
  <c r="P33" i="3"/>
  <c r="P34" i="3"/>
  <c r="AP35" i="3" s="1"/>
  <c r="P35" i="3"/>
  <c r="AP34" i="3" s="1"/>
  <c r="P36" i="3"/>
  <c r="P37" i="3"/>
  <c r="AP38" i="3" s="1"/>
  <c r="P38" i="3"/>
  <c r="AP37" i="3" s="1"/>
  <c r="P39" i="3"/>
  <c r="AP40" i="3" s="1"/>
  <c r="P40" i="3"/>
  <c r="AP39" i="3" s="1"/>
  <c r="P41" i="3"/>
  <c r="P42" i="3"/>
  <c r="AP43" i="3" s="1"/>
  <c r="P43" i="3"/>
  <c r="AP42" i="3" s="1"/>
  <c r="P44" i="3"/>
  <c r="P45" i="3"/>
  <c r="AP46" i="3" s="1"/>
  <c r="P46" i="3"/>
  <c r="AP45" i="3" s="1"/>
  <c r="P47" i="3"/>
  <c r="AP48" i="3" s="1"/>
  <c r="P48" i="3"/>
  <c r="AP47" i="3" s="1"/>
  <c r="P49" i="3"/>
  <c r="P50" i="3"/>
  <c r="P51" i="3"/>
  <c r="P52" i="3"/>
  <c r="AP53" i="3" s="1"/>
  <c r="P53" i="3"/>
  <c r="AP52" i="3" s="1"/>
  <c r="P54" i="3"/>
  <c r="P55" i="3"/>
  <c r="P56" i="3"/>
  <c r="AP57" i="3" s="1"/>
  <c r="P57" i="3"/>
  <c r="AP56" i="3" s="1"/>
  <c r="P58" i="3"/>
  <c r="P59" i="3"/>
  <c r="AP60" i="3" s="1"/>
  <c r="P60" i="3"/>
  <c r="AP59" i="3" s="1"/>
  <c r="P61" i="3"/>
  <c r="P62" i="3"/>
  <c r="AP63" i="3" s="1"/>
  <c r="P63" i="3"/>
  <c r="AP62" i="3" s="1"/>
  <c r="P64" i="3"/>
  <c r="AP65" i="3" s="1"/>
  <c r="P65" i="3"/>
  <c r="AP64" i="3" s="1"/>
  <c r="P66" i="3"/>
  <c r="P67" i="3"/>
  <c r="P68" i="3"/>
  <c r="AP69" i="3" s="1"/>
  <c r="P69" i="3"/>
  <c r="AP68" i="3" s="1"/>
  <c r="P70" i="3"/>
  <c r="AP71" i="3" s="1"/>
  <c r="P71" i="3"/>
  <c r="AP70" i="3" s="1"/>
  <c r="P72" i="3"/>
  <c r="P73" i="3"/>
  <c r="AP74" i="3" s="1"/>
  <c r="P74" i="3"/>
  <c r="AP73" i="3" s="1"/>
  <c r="P75" i="3"/>
  <c r="P76" i="3"/>
  <c r="P3" i="3"/>
  <c r="AP2" i="3" s="1"/>
  <c r="B3" i="4"/>
  <c r="B4" i="4"/>
  <c r="B5" i="4"/>
  <c r="C4" i="4" s="1"/>
  <c r="B6" i="4"/>
  <c r="C5" i="4" s="1"/>
  <c r="B7" i="4"/>
  <c r="C6" i="4" s="1"/>
  <c r="B2" i="4"/>
  <c r="Y7" i="3"/>
  <c r="AA7" i="3" s="1"/>
  <c r="Y8" i="3"/>
  <c r="Z8" i="3" s="1"/>
  <c r="Y9" i="3"/>
  <c r="Z9" i="3" s="1"/>
  <c r="Y10" i="3"/>
  <c r="Z10" i="3" s="1"/>
  <c r="Y11" i="3"/>
  <c r="Z11" i="3" s="1"/>
  <c r="Y12" i="3"/>
  <c r="Z12" i="3" s="1"/>
  <c r="Y13" i="3"/>
  <c r="AD13" i="3" s="1"/>
  <c r="Y14" i="3"/>
  <c r="Z14" i="3" s="1"/>
  <c r="Y15" i="3"/>
  <c r="Z15" i="3" s="1"/>
  <c r="Y16" i="3"/>
  <c r="AA16" i="3" s="1"/>
  <c r="Y17" i="3"/>
  <c r="Z17" i="3" s="1"/>
  <c r="Y18" i="3"/>
  <c r="Z18" i="3" s="1"/>
  <c r="Y19" i="3"/>
  <c r="Z19" i="3" s="1"/>
  <c r="Y20" i="3"/>
  <c r="Z20" i="3" s="1"/>
  <c r="Y21" i="3"/>
  <c r="Z21" i="3" s="1"/>
  <c r="Y22" i="3"/>
  <c r="AA22" i="3" s="1"/>
  <c r="Y23" i="3"/>
  <c r="Z23" i="3" s="1"/>
  <c r="Y24" i="3"/>
  <c r="Z24" i="3" s="1"/>
  <c r="Y25" i="3"/>
  <c r="AA25" i="3" s="1"/>
  <c r="Y26" i="3"/>
  <c r="Z26" i="3" s="1"/>
  <c r="Y27" i="3"/>
  <c r="Z27" i="3" s="1"/>
  <c r="Y28" i="3"/>
  <c r="AB28" i="3" s="1"/>
  <c r="Y29" i="3"/>
  <c r="Z29" i="3" s="1"/>
  <c r="Y30" i="3"/>
  <c r="Z30" i="3" s="1"/>
  <c r="Y31" i="3"/>
  <c r="AA31" i="3" s="1"/>
  <c r="Y32" i="3"/>
  <c r="Z32" i="3" s="1"/>
  <c r="Y33" i="3"/>
  <c r="Z33" i="3" s="1"/>
  <c r="Y34" i="3"/>
  <c r="Z34" i="3" s="1"/>
  <c r="Y35" i="3"/>
  <c r="Z35" i="3" s="1"/>
  <c r="Y36" i="3"/>
  <c r="Z36" i="3" s="1"/>
  <c r="Y37" i="3"/>
  <c r="Z37" i="3" s="1"/>
  <c r="AB37" i="3"/>
  <c r="Y38" i="3"/>
  <c r="Z38" i="3" s="1"/>
  <c r="Y39" i="3"/>
  <c r="Z39" i="3" s="1"/>
  <c r="Y40" i="3"/>
  <c r="AD40" i="3" s="1"/>
  <c r="Y41" i="3"/>
  <c r="Z41" i="3" s="1"/>
  <c r="Y42" i="3"/>
  <c r="Z42" i="3" s="1"/>
  <c r="Y43" i="3"/>
  <c r="AB43" i="3" s="1"/>
  <c r="Y44" i="3"/>
  <c r="Z44" i="3" s="1"/>
  <c r="Y45" i="3"/>
  <c r="Z45" i="3" s="1"/>
  <c r="Y46" i="3"/>
  <c r="Z46" i="3" s="1"/>
  <c r="Y47" i="3"/>
  <c r="Z47" i="3" s="1"/>
  <c r="Y48" i="3"/>
  <c r="Z48" i="3" s="1"/>
  <c r="Y49" i="3"/>
  <c r="Z49" i="3" s="1"/>
  <c r="Y50" i="3"/>
  <c r="Z50" i="3" s="1"/>
  <c r="Y51" i="3"/>
  <c r="Z51" i="3" s="1"/>
  <c r="Y52" i="3"/>
  <c r="AD52" i="3" s="1"/>
  <c r="Y53" i="3"/>
  <c r="Z53" i="3" s="1"/>
  <c r="Y54" i="3"/>
  <c r="Z54" i="3" s="1"/>
  <c r="Y55" i="3"/>
  <c r="Z55" i="3" s="1"/>
  <c r="Y56" i="3"/>
  <c r="Z56" i="3" s="1"/>
  <c r="Y57" i="3"/>
  <c r="Z57" i="3" s="1"/>
  <c r="Y58" i="3"/>
  <c r="Z58" i="3" s="1"/>
  <c r="Y59" i="3"/>
  <c r="Z59" i="3" s="1"/>
  <c r="Y60" i="3"/>
  <c r="Z60" i="3" s="1"/>
  <c r="Y61" i="3"/>
  <c r="Z61" i="3" s="1"/>
  <c r="Y62" i="3"/>
  <c r="Z62" i="3" s="1"/>
  <c r="Y63" i="3"/>
  <c r="Z63" i="3" s="1"/>
  <c r="Y64" i="3"/>
  <c r="AD64" i="3" s="1"/>
  <c r="Y65" i="3"/>
  <c r="Z65" i="3" s="1"/>
  <c r="Y66" i="3"/>
  <c r="Z66" i="3" s="1"/>
  <c r="Y67" i="3"/>
  <c r="AB67" i="3" s="1"/>
  <c r="Y68" i="3"/>
  <c r="Z68" i="3" s="1"/>
  <c r="Y69" i="3"/>
  <c r="Z69" i="3" s="1"/>
  <c r="Y70" i="3"/>
  <c r="Z70" i="3" s="1"/>
  <c r="Y71" i="3"/>
  <c r="Z71" i="3" s="1"/>
  <c r="Y72" i="3"/>
  <c r="Z72" i="3" s="1"/>
  <c r="Y73" i="3"/>
  <c r="AD73" i="3" s="1"/>
  <c r="Y74" i="3"/>
  <c r="Z74" i="3" s="1"/>
  <c r="Y75" i="3"/>
  <c r="Z75" i="3" s="1"/>
  <c r="Y76" i="3"/>
  <c r="Z76" i="3" s="1"/>
  <c r="AD76" i="3"/>
  <c r="T7" i="3"/>
  <c r="U7" i="3" s="1"/>
  <c r="T8" i="3"/>
  <c r="U8" i="3" s="1"/>
  <c r="T9" i="3"/>
  <c r="U9" i="3" s="1"/>
  <c r="T10" i="3"/>
  <c r="V10" i="3" s="1"/>
  <c r="T11" i="3"/>
  <c r="U11" i="3" s="1"/>
  <c r="T12" i="3"/>
  <c r="U12" i="3" s="1"/>
  <c r="T13" i="3"/>
  <c r="U13" i="3" s="1"/>
  <c r="T14" i="3"/>
  <c r="U14" i="3" s="1"/>
  <c r="T15" i="3"/>
  <c r="U15" i="3" s="1"/>
  <c r="T16" i="3"/>
  <c r="U16" i="3" s="1"/>
  <c r="T17" i="3"/>
  <c r="U17" i="3" s="1"/>
  <c r="T18" i="3"/>
  <c r="U18" i="3" s="1"/>
  <c r="T19" i="3"/>
  <c r="U19" i="3" s="1"/>
  <c r="T20" i="3"/>
  <c r="W20" i="3" s="1"/>
  <c r="T21" i="3"/>
  <c r="U21" i="3" s="1"/>
  <c r="T22" i="3"/>
  <c r="V22" i="3" s="1"/>
  <c r="T23" i="3"/>
  <c r="V23" i="3" s="1"/>
  <c r="T24" i="3"/>
  <c r="U24" i="3" s="1"/>
  <c r="T25" i="3"/>
  <c r="U25" i="3" s="1"/>
  <c r="T26" i="3"/>
  <c r="U26" i="3" s="1"/>
  <c r="T27" i="3"/>
  <c r="U27" i="3" s="1"/>
  <c r="T28" i="3"/>
  <c r="U28" i="3" s="1"/>
  <c r="T29" i="3"/>
  <c r="U29" i="3" s="1"/>
  <c r="T30" i="3"/>
  <c r="U30" i="3" s="1"/>
  <c r="T31" i="3"/>
  <c r="V31" i="3" s="1"/>
  <c r="T32" i="3"/>
  <c r="V32" i="3" s="1"/>
  <c r="T33" i="3"/>
  <c r="U33" i="3" s="1"/>
  <c r="T34" i="3"/>
  <c r="U34" i="3" s="1"/>
  <c r="T35" i="3"/>
  <c r="U35" i="3" s="1"/>
  <c r="T36" i="3"/>
  <c r="U36" i="3" s="1"/>
  <c r="T37" i="3"/>
  <c r="W37" i="3" s="1"/>
  <c r="T38" i="3"/>
  <c r="U38" i="3" s="1"/>
  <c r="T39" i="3"/>
  <c r="U39" i="3" s="1"/>
  <c r="T40" i="3"/>
  <c r="U40" i="3" s="1"/>
  <c r="T41" i="3"/>
  <c r="U41" i="3" s="1"/>
  <c r="T42" i="3"/>
  <c r="U42" i="3" s="1"/>
  <c r="T43" i="3"/>
  <c r="V43" i="3" s="1"/>
  <c r="T44" i="3"/>
  <c r="V44" i="3" s="1"/>
  <c r="T45" i="3"/>
  <c r="U45" i="3" s="1"/>
  <c r="T46" i="3"/>
  <c r="W46" i="3" s="1"/>
  <c r="T47" i="3"/>
  <c r="U47" i="3" s="1"/>
  <c r="T48" i="3"/>
  <c r="W48" i="3" s="1"/>
  <c r="T49" i="3"/>
  <c r="U49" i="3" s="1"/>
  <c r="T50" i="3"/>
  <c r="V50" i="3" s="1"/>
  <c r="T51" i="3"/>
  <c r="V51" i="3" s="1"/>
  <c r="T52" i="3"/>
  <c r="U52" i="3" s="1"/>
  <c r="T53" i="3"/>
  <c r="U53" i="3" s="1"/>
  <c r="T54" i="3"/>
  <c r="U54" i="3" s="1"/>
  <c r="T55" i="3"/>
  <c r="V55" i="3" s="1"/>
  <c r="T56" i="3"/>
  <c r="U56" i="3" s="1"/>
  <c r="T57" i="3"/>
  <c r="U57" i="3" s="1"/>
  <c r="T58" i="3"/>
  <c r="U58" i="3" s="1"/>
  <c r="T59" i="3"/>
  <c r="U59" i="3" s="1"/>
  <c r="T60" i="3"/>
  <c r="U60" i="3" s="1"/>
  <c r="T61" i="3"/>
  <c r="W61" i="3" s="1"/>
  <c r="T62" i="3"/>
  <c r="V62" i="3" s="1"/>
  <c r="T63" i="3"/>
  <c r="U63" i="3" s="1"/>
  <c r="T64" i="3"/>
  <c r="U64" i="3" s="1"/>
  <c r="T65" i="3"/>
  <c r="U65" i="3" s="1"/>
  <c r="T66" i="3"/>
  <c r="W66" i="3" s="1"/>
  <c r="T67" i="3"/>
  <c r="U67" i="3" s="1"/>
  <c r="T68" i="3"/>
  <c r="V68" i="3" s="1"/>
  <c r="T69" i="3"/>
  <c r="U69" i="3" s="1"/>
  <c r="T70" i="3"/>
  <c r="U70" i="3" s="1"/>
  <c r="T71" i="3"/>
  <c r="U71" i="3" s="1"/>
  <c r="T72" i="3"/>
  <c r="W72" i="3" s="1"/>
  <c r="T73" i="3"/>
  <c r="V73" i="3" s="1"/>
  <c r="T74" i="3"/>
  <c r="U74" i="3" s="1"/>
  <c r="T75" i="3"/>
  <c r="W75" i="3" s="1"/>
  <c r="T76" i="3"/>
  <c r="U76" i="3" s="1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6" i="3"/>
  <c r="Y6" i="3"/>
  <c r="Z6" i="3" s="1"/>
  <c r="T6" i="3"/>
  <c r="W6" i="3" s="1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4" i="3"/>
  <c r="I76" i="3"/>
  <c r="H76" i="3"/>
  <c r="I75" i="3"/>
  <c r="H75" i="3"/>
  <c r="G75" i="3"/>
  <c r="I74" i="3"/>
  <c r="H74" i="3"/>
  <c r="G74" i="3"/>
  <c r="I73" i="3"/>
  <c r="H73" i="3"/>
  <c r="G73" i="3"/>
  <c r="C73" i="3"/>
  <c r="I72" i="3"/>
  <c r="H72" i="3"/>
  <c r="I71" i="3"/>
  <c r="H71" i="3"/>
  <c r="G71" i="3"/>
  <c r="I70" i="3"/>
  <c r="H70" i="3"/>
  <c r="G70" i="3"/>
  <c r="C70" i="3"/>
  <c r="D76" i="3" s="1"/>
  <c r="I69" i="3"/>
  <c r="H69" i="3"/>
  <c r="G69" i="3"/>
  <c r="D69" i="3"/>
  <c r="I68" i="3"/>
  <c r="H68" i="3"/>
  <c r="G68" i="3"/>
  <c r="D68" i="3"/>
  <c r="I67" i="3"/>
  <c r="H67" i="3"/>
  <c r="G67" i="3"/>
  <c r="I66" i="3"/>
  <c r="H66" i="3"/>
  <c r="G66" i="3"/>
  <c r="I65" i="3"/>
  <c r="H65" i="3"/>
  <c r="G65" i="3"/>
  <c r="I64" i="3"/>
  <c r="H64" i="3"/>
  <c r="G64" i="3"/>
  <c r="C64" i="3"/>
  <c r="D65" i="3" s="1"/>
  <c r="I63" i="3"/>
  <c r="H63" i="3"/>
  <c r="G63" i="3"/>
  <c r="D63" i="3"/>
  <c r="I62" i="3"/>
  <c r="H62" i="3"/>
  <c r="G62" i="3"/>
  <c r="D62" i="3"/>
  <c r="D61" i="3"/>
  <c r="D60" i="3"/>
  <c r="D59" i="3"/>
  <c r="D58" i="3"/>
  <c r="D57" i="3"/>
  <c r="D56" i="3"/>
  <c r="I55" i="3"/>
  <c r="H55" i="3"/>
  <c r="G55" i="3"/>
  <c r="D55" i="3"/>
  <c r="I54" i="3"/>
  <c r="H54" i="3"/>
  <c r="G54" i="3"/>
  <c r="D54" i="3"/>
  <c r="I53" i="3"/>
  <c r="H53" i="3"/>
  <c r="G53" i="3"/>
  <c r="D53" i="3"/>
  <c r="I52" i="3"/>
  <c r="H52" i="3"/>
  <c r="G52" i="3"/>
  <c r="D52" i="3"/>
  <c r="D51" i="3"/>
  <c r="D50" i="3"/>
  <c r="D49" i="3"/>
  <c r="D48" i="3"/>
  <c r="D47" i="3"/>
  <c r="D46" i="3"/>
  <c r="G45" i="3"/>
  <c r="D45" i="3"/>
  <c r="I44" i="3"/>
  <c r="H44" i="3"/>
  <c r="G44" i="3"/>
  <c r="I43" i="3"/>
  <c r="H43" i="3"/>
  <c r="G43" i="3"/>
  <c r="I42" i="3"/>
  <c r="H42" i="3"/>
  <c r="G42" i="3"/>
  <c r="I41" i="3"/>
  <c r="H41" i="3"/>
  <c r="G41" i="3"/>
  <c r="I40" i="3"/>
  <c r="H40" i="3"/>
  <c r="G40" i="3"/>
  <c r="I39" i="3"/>
  <c r="H39" i="3"/>
  <c r="G39" i="3"/>
  <c r="C39" i="3"/>
  <c r="D43" i="3" s="1"/>
  <c r="I38" i="3"/>
  <c r="H38" i="3"/>
  <c r="G38" i="3"/>
  <c r="D38" i="3"/>
  <c r="I37" i="3"/>
  <c r="H37" i="3"/>
  <c r="G37" i="3"/>
  <c r="D37" i="3"/>
  <c r="I34" i="3"/>
  <c r="H34" i="3"/>
  <c r="G34" i="3"/>
  <c r="I33" i="3"/>
  <c r="H33" i="3"/>
  <c r="G33" i="3"/>
  <c r="I32" i="3"/>
  <c r="H32" i="3"/>
  <c r="G32" i="3"/>
  <c r="I31" i="3"/>
  <c r="H31" i="3"/>
  <c r="G31" i="3"/>
  <c r="I30" i="3"/>
  <c r="H30" i="3"/>
  <c r="G30" i="3"/>
  <c r="I29" i="3"/>
  <c r="H29" i="3"/>
  <c r="G29" i="3"/>
  <c r="C29" i="3"/>
  <c r="D31" i="3" s="1"/>
  <c r="I28" i="3"/>
  <c r="H28" i="3"/>
  <c r="G28" i="3"/>
  <c r="D28" i="3"/>
  <c r="I27" i="3"/>
  <c r="H27" i="3"/>
  <c r="G27" i="3"/>
  <c r="D27" i="3"/>
  <c r="I26" i="3"/>
  <c r="H26" i="3"/>
  <c r="G26" i="3"/>
  <c r="D26" i="3"/>
  <c r="I25" i="3"/>
  <c r="H25" i="3"/>
  <c r="G25" i="3"/>
  <c r="D25" i="3"/>
  <c r="I24" i="3"/>
  <c r="H24" i="3"/>
  <c r="G24" i="3"/>
  <c r="D24" i="3"/>
  <c r="I23" i="3"/>
  <c r="H23" i="3"/>
  <c r="G23" i="3"/>
  <c r="D23" i="3"/>
  <c r="I22" i="3"/>
  <c r="H22" i="3"/>
  <c r="G22" i="3"/>
  <c r="D22" i="3"/>
  <c r="I21" i="3"/>
  <c r="H21" i="3"/>
  <c r="G21" i="3"/>
  <c r="D21" i="3"/>
  <c r="I20" i="3"/>
  <c r="H20" i="3"/>
  <c r="G20" i="3"/>
  <c r="D20" i="3"/>
  <c r="I19" i="3"/>
  <c r="H19" i="3"/>
  <c r="G19" i="3"/>
  <c r="D19" i="3"/>
  <c r="I18" i="3"/>
  <c r="H18" i="3"/>
  <c r="G18" i="3"/>
  <c r="I17" i="3"/>
  <c r="H17" i="3"/>
  <c r="G17" i="3"/>
  <c r="I16" i="3"/>
  <c r="H16" i="3"/>
  <c r="G16" i="3"/>
  <c r="I15" i="3"/>
  <c r="H15" i="3"/>
  <c r="G15" i="3"/>
  <c r="I14" i="3"/>
  <c r="H14" i="3"/>
  <c r="I13" i="3"/>
  <c r="H13" i="3"/>
  <c r="G13" i="3"/>
  <c r="I12" i="3"/>
  <c r="H12" i="3"/>
  <c r="G12" i="3"/>
  <c r="I11" i="3"/>
  <c r="H11" i="3"/>
  <c r="G11" i="3"/>
  <c r="I10" i="3"/>
  <c r="H10" i="3"/>
  <c r="I9" i="3"/>
  <c r="H9" i="3"/>
  <c r="I8" i="3"/>
  <c r="H8" i="3"/>
  <c r="G8" i="3"/>
  <c r="C8" i="3"/>
  <c r="D8" i="3" s="1"/>
  <c r="I7" i="3"/>
  <c r="H7" i="3"/>
  <c r="G7" i="3"/>
  <c r="D7" i="3"/>
  <c r="K6" i="3"/>
  <c r="I6" i="3"/>
  <c r="H6" i="3"/>
  <c r="G6" i="3"/>
  <c r="D6" i="3"/>
  <c r="D5" i="3"/>
  <c r="K4" i="3"/>
  <c r="G4" i="3"/>
  <c r="D4" i="3"/>
  <c r="R3" i="3"/>
  <c r="Q3" i="3"/>
  <c r="D3" i="3"/>
  <c r="D2" i="3"/>
  <c r="BB10" i="3" a="1"/>
  <c r="BB9" i="3" a="1"/>
  <c r="BB8" i="3" a="1"/>
  <c r="BB7" i="3" a="1"/>
  <c r="AZ9" i="3" a="1"/>
  <c r="AZ8" i="3" a="1"/>
  <c r="BB10" i="3" l="1"/>
  <c r="BC10" i="3" s="1"/>
  <c r="BD10" i="3" s="1"/>
  <c r="BB9" i="3"/>
  <c r="BC9" i="3" s="1"/>
  <c r="BB8" i="3"/>
  <c r="BC8" i="3" s="1"/>
  <c r="AB25" i="3"/>
  <c r="AB57" i="3"/>
  <c r="BB7" i="3"/>
  <c r="BC7" i="3" s="1"/>
  <c r="BD11" i="3"/>
  <c r="AZ9" i="3"/>
  <c r="AZ8" i="3"/>
  <c r="AB32" i="3"/>
  <c r="Z52" i="3"/>
  <c r="V48" i="3"/>
  <c r="AB24" i="3"/>
  <c r="AD22" i="3"/>
  <c r="AA13" i="3"/>
  <c r="AD31" i="3"/>
  <c r="AA68" i="3"/>
  <c r="AA61" i="3"/>
  <c r="AB39" i="3"/>
  <c r="Z22" i="3"/>
  <c r="W70" i="3"/>
  <c r="V70" i="3"/>
  <c r="AB69" i="3"/>
  <c r="AB20" i="3"/>
  <c r="AQ2" i="3"/>
  <c r="AQ3" i="3"/>
  <c r="U66" i="3"/>
  <c r="AB31" i="3"/>
  <c r="AA62" i="3"/>
  <c r="AD43" i="3"/>
  <c r="AD28" i="3"/>
  <c r="AB12" i="3"/>
  <c r="AD75" i="3"/>
  <c r="AA39" i="3"/>
  <c r="V25" i="3"/>
  <c r="AD7" i="3"/>
  <c r="AB38" i="3"/>
  <c r="AA38" i="3"/>
  <c r="AD69" i="3"/>
  <c r="U48" i="3"/>
  <c r="AA37" i="3"/>
  <c r="AD11" i="3"/>
  <c r="AB11" i="3"/>
  <c r="W47" i="3"/>
  <c r="AB36" i="3"/>
  <c r="AA6" i="3"/>
  <c r="V46" i="3"/>
  <c r="AB6" i="3"/>
  <c r="AA76" i="3"/>
  <c r="AD67" i="3"/>
  <c r="AB56" i="3"/>
  <c r="U46" i="3"/>
  <c r="U22" i="3"/>
  <c r="AD6" i="3"/>
  <c r="AA67" i="3"/>
  <c r="AA56" i="3"/>
  <c r="AB75" i="3"/>
  <c r="W67" i="3"/>
  <c r="AA75" i="3"/>
  <c r="V67" i="3"/>
  <c r="W55" i="3"/>
  <c r="Z43" i="3"/>
  <c r="V20" i="3"/>
  <c r="V66" i="3"/>
  <c r="AB53" i="3"/>
  <c r="W19" i="3"/>
  <c r="W73" i="3"/>
  <c r="AB52" i="3"/>
  <c r="AB40" i="3"/>
  <c r="AB29" i="3"/>
  <c r="AD17" i="3"/>
  <c r="U73" i="3"/>
  <c r="AA52" i="3"/>
  <c r="AA40" i="3"/>
  <c r="AA17" i="3"/>
  <c r="AD63" i="3"/>
  <c r="V72" i="3"/>
  <c r="AB63" i="3"/>
  <c r="AD39" i="3"/>
  <c r="Z16" i="3"/>
  <c r="U72" i="3"/>
  <c r="AA63" i="3"/>
  <c r="AD51" i="3"/>
  <c r="AD70" i="3"/>
  <c r="V63" i="3"/>
  <c r="AB50" i="3"/>
  <c r="AD25" i="3"/>
  <c r="C3" i="4"/>
  <c r="C7" i="4"/>
  <c r="C2" i="4"/>
  <c r="AD19" i="3"/>
  <c r="AB60" i="3"/>
  <c r="U55" i="3"/>
  <c r="Z40" i="3"/>
  <c r="AA32" i="3"/>
  <c r="Z25" i="3"/>
  <c r="AB19" i="3"/>
  <c r="AD12" i="3"/>
  <c r="AA19" i="3"/>
  <c r="W60" i="3"/>
  <c r="W54" i="3"/>
  <c r="AD46" i="3"/>
  <c r="U32" i="3"/>
  <c r="W25" i="3"/>
  <c r="V60" i="3"/>
  <c r="W59" i="3"/>
  <c r="Z31" i="3"/>
  <c r="AB18" i="3"/>
  <c r="AA11" i="3"/>
  <c r="V6" i="3"/>
  <c r="W71" i="3"/>
  <c r="AB64" i="3"/>
  <c r="AD45" i="3"/>
  <c r="W39" i="3"/>
  <c r="V24" i="3"/>
  <c r="AA18" i="3"/>
  <c r="AA64" i="3"/>
  <c r="W58" i="3"/>
  <c r="AB45" i="3"/>
  <c r="V39" i="3"/>
  <c r="U31" i="3"/>
  <c r="Z64" i="3"/>
  <c r="AD57" i="3"/>
  <c r="AA45" i="3"/>
  <c r="U23" i="3"/>
  <c r="U10" i="3"/>
  <c r="W30" i="3"/>
  <c r="AB76" i="3"/>
  <c r="AA51" i="3"/>
  <c r="AA44" i="3"/>
  <c r="AB22" i="3"/>
  <c r="AD8" i="3"/>
  <c r="W57" i="3"/>
  <c r="AD16" i="3"/>
  <c r="AA8" i="3"/>
  <c r="U51" i="3"/>
  <c r="U44" i="3"/>
  <c r="AA28" i="3"/>
  <c r="W63" i="3"/>
  <c r="AA43" i="3"/>
  <c r="Z28" i="3"/>
  <c r="W22" i="3"/>
  <c r="AB15" i="3"/>
  <c r="Z7" i="3"/>
  <c r="W56" i="3"/>
  <c r="W50" i="3"/>
  <c r="V56" i="3"/>
  <c r="U50" i="3"/>
  <c r="AD27" i="3"/>
  <c r="AD21" i="3"/>
  <c r="W15" i="3"/>
  <c r="V75" i="3"/>
  <c r="U68" i="3"/>
  <c r="AB62" i="3"/>
  <c r="AB49" i="3"/>
  <c r="W43" i="3"/>
  <c r="V36" i="3"/>
  <c r="AA27" i="3"/>
  <c r="AB21" i="3"/>
  <c r="AD14" i="3"/>
  <c r="U75" i="3"/>
  <c r="AD55" i="3"/>
  <c r="U43" i="3"/>
  <c r="AB14" i="3"/>
  <c r="AB55" i="3"/>
  <c r="W49" i="3"/>
  <c r="AB26" i="3"/>
  <c r="AD20" i="3"/>
  <c r="AA14" i="3"/>
  <c r="V74" i="3"/>
  <c r="Z67" i="3"/>
  <c r="U62" i="3"/>
  <c r="AA55" i="3"/>
  <c r="V49" i="3"/>
  <c r="W42" i="3"/>
  <c r="AD33" i="3"/>
  <c r="AB73" i="3"/>
  <c r="AB61" i="3"/>
  <c r="AB33" i="3"/>
  <c r="W26" i="3"/>
  <c r="AB13" i="3"/>
  <c r="AB74" i="3"/>
  <c r="V71" i="3"/>
  <c r="U61" i="3"/>
  <c r="AA57" i="3"/>
  <c r="V54" i="3"/>
  <c r="AA50" i="3"/>
  <c r="V47" i="3"/>
  <c r="U37" i="3"/>
  <c r="AA33" i="3"/>
  <c r="V30" i="3"/>
  <c r="AA26" i="3"/>
  <c r="W23" i="3"/>
  <c r="U20" i="3"/>
  <c r="AB16" i="3"/>
  <c r="Z13" i="3"/>
  <c r="W10" i="3"/>
  <c r="V61" i="3"/>
  <c r="V37" i="3"/>
  <c r="AA74" i="3"/>
  <c r="W64" i="3"/>
  <c r="AD60" i="3"/>
  <c r="W40" i="3"/>
  <c r="AD36" i="3"/>
  <c r="V64" i="3"/>
  <c r="V40" i="3"/>
  <c r="W33" i="3"/>
  <c r="W13" i="3"/>
  <c r="W74" i="3"/>
  <c r="AB70" i="3"/>
  <c r="AA60" i="3"/>
  <c r="V57" i="3"/>
  <c r="AA53" i="3"/>
  <c r="AB46" i="3"/>
  <c r="AA36" i="3"/>
  <c r="V33" i="3"/>
  <c r="AA29" i="3"/>
  <c r="V26" i="3"/>
  <c r="V13" i="3"/>
  <c r="AD9" i="3"/>
  <c r="AA46" i="3"/>
  <c r="W16" i="3"/>
  <c r="AB9" i="3"/>
  <c r="AA70" i="3"/>
  <c r="U6" i="3"/>
  <c r="W53" i="3"/>
  <c r="AD49" i="3"/>
  <c r="W36" i="3"/>
  <c r="W29" i="3"/>
  <c r="V16" i="3"/>
  <c r="AA9" i="3"/>
  <c r="V53" i="3"/>
  <c r="V29" i="3"/>
  <c r="AA73" i="3"/>
  <c r="AD66" i="3"/>
  <c r="AA49" i="3"/>
  <c r="AD42" i="3"/>
  <c r="V19" i="3"/>
  <c r="AD15" i="3"/>
  <c r="AA12" i="3"/>
  <c r="W9" i="3"/>
  <c r="Z73" i="3"/>
  <c r="AB66" i="3"/>
  <c r="AB59" i="3"/>
  <c r="AB42" i="3"/>
  <c r="AB35" i="3"/>
  <c r="W32" i="3"/>
  <c r="V9" i="3"/>
  <c r="AA66" i="3"/>
  <c r="AA59" i="3"/>
  <c r="AA42" i="3"/>
  <c r="AA35" i="3"/>
  <c r="AD18" i="3"/>
  <c r="AA15" i="3"/>
  <c r="W12" i="3"/>
  <c r="V12" i="3"/>
  <c r="W35" i="3"/>
  <c r="AA69" i="3"/>
  <c r="V59" i="3"/>
  <c r="V42" i="3"/>
  <c r="V35" i="3"/>
  <c r="V15" i="3"/>
  <c r="AD72" i="3"/>
  <c r="W52" i="3"/>
  <c r="AD48" i="3"/>
  <c r="W28" i="3"/>
  <c r="AD24" i="3"/>
  <c r="AA21" i="3"/>
  <c r="W18" i="3"/>
  <c r="W8" i="3"/>
  <c r="W76" i="3"/>
  <c r="AB72" i="3"/>
  <c r="W69" i="3"/>
  <c r="AB65" i="3"/>
  <c r="W62" i="3"/>
  <c r="AD58" i="3"/>
  <c r="V52" i="3"/>
  <c r="AB48" i="3"/>
  <c r="W45" i="3"/>
  <c r="AB41" i="3"/>
  <c r="W38" i="3"/>
  <c r="AD34" i="3"/>
  <c r="V28" i="3"/>
  <c r="V18" i="3"/>
  <c r="V8" i="3"/>
  <c r="V76" i="3"/>
  <c r="AA72" i="3"/>
  <c r="V69" i="3"/>
  <c r="AA65" i="3"/>
  <c r="AB58" i="3"/>
  <c r="AA48" i="3"/>
  <c r="V45" i="3"/>
  <c r="AA41" i="3"/>
  <c r="V38" i="3"/>
  <c r="AB34" i="3"/>
  <c r="AA24" i="3"/>
  <c r="W21" i="3"/>
  <c r="AA58" i="3"/>
  <c r="AA34" i="3"/>
  <c r="W31" i="3"/>
  <c r="V21" i="3"/>
  <c r="W11" i="3"/>
  <c r="AB68" i="3"/>
  <c r="W65" i="3"/>
  <c r="AD61" i="3"/>
  <c r="AB51" i="3"/>
  <c r="AB44" i="3"/>
  <c r="W41" i="3"/>
  <c r="AD37" i="3"/>
  <c r="AB27" i="3"/>
  <c r="W24" i="3"/>
  <c r="AB17" i="3"/>
  <c r="V11" i="3"/>
  <c r="AB7" i="3"/>
  <c r="V65" i="3"/>
  <c r="V41" i="3"/>
  <c r="W14" i="3"/>
  <c r="AD54" i="3"/>
  <c r="W34" i="3"/>
  <c r="AD30" i="3"/>
  <c r="V14" i="3"/>
  <c r="AD10" i="3"/>
  <c r="AB71" i="3"/>
  <c r="W68" i="3"/>
  <c r="V58" i="3"/>
  <c r="AB54" i="3"/>
  <c r="W51" i="3"/>
  <c r="AB47" i="3"/>
  <c r="W44" i="3"/>
  <c r="V34" i="3"/>
  <c r="AB30" i="3"/>
  <c r="W27" i="3"/>
  <c r="AD23" i="3"/>
  <c r="AA20" i="3"/>
  <c r="W17" i="3"/>
  <c r="AB10" i="3"/>
  <c r="W7" i="3"/>
  <c r="AA71" i="3"/>
  <c r="AA54" i="3"/>
  <c r="AA47" i="3"/>
  <c r="AA30" i="3"/>
  <c r="V27" i="3"/>
  <c r="AB23" i="3"/>
  <c r="V17" i="3"/>
  <c r="AA10" i="3"/>
  <c r="V7" i="3"/>
  <c r="AA23" i="3"/>
  <c r="AD74" i="3"/>
  <c r="AD71" i="3"/>
  <c r="AD68" i="3"/>
  <c r="AD65" i="3"/>
  <c r="AD62" i="3"/>
  <c r="AD59" i="3"/>
  <c r="AD56" i="3"/>
  <c r="AD53" i="3"/>
  <c r="AD50" i="3"/>
  <c r="AD47" i="3"/>
  <c r="AD44" i="3"/>
  <c r="AD41" i="3"/>
  <c r="AD38" i="3"/>
  <c r="AD35" i="3"/>
  <c r="AD32" i="3"/>
  <c r="AD29" i="3"/>
  <c r="AD26" i="3"/>
  <c r="AB8" i="3"/>
  <c r="D41" i="3"/>
  <c r="D44" i="3"/>
  <c r="D71" i="3"/>
  <c r="D36" i="3"/>
  <c r="D72" i="3"/>
  <c r="D9" i="3"/>
  <c r="D73" i="3"/>
  <c r="D10" i="3"/>
  <c r="D74" i="3"/>
  <c r="C11" i="3"/>
  <c r="D13" i="3" s="1"/>
  <c r="D75" i="3"/>
  <c r="D70" i="3"/>
  <c r="D32" i="3"/>
  <c r="D39" i="3"/>
  <c r="D66" i="3"/>
  <c r="D33" i="3"/>
  <c r="D40" i="3"/>
  <c r="C67" i="3"/>
  <c r="D67" i="3"/>
  <c r="D34" i="3"/>
  <c r="D29" i="3"/>
  <c r="D35" i="3"/>
  <c r="D42" i="3"/>
  <c r="D30" i="3"/>
  <c r="D64" i="3"/>
  <c r="BD9" i="3" l="1"/>
  <c r="BD8" i="3"/>
  <c r="BD7" i="3"/>
  <c r="AZ7" i="3"/>
  <c r="D2" i="4"/>
  <c r="D17" i="3"/>
  <c r="D11" i="3"/>
  <c r="D16" i="3"/>
  <c r="D15" i="3"/>
  <c r="D14" i="3"/>
  <c r="C14" i="3"/>
  <c r="D18" i="3"/>
  <c r="D12" i="3"/>
  <c r="BE7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<sst xmlns="http://schemas.openxmlformats.org/spreadsheetml/2006/main" count="2022" uniqueCount="687">
  <si>
    <t>id</t>
  </si>
  <si>
    <t>name</t>
  </si>
  <si>
    <t>gender</t>
  </si>
  <si>
    <t>birth_date</t>
  </si>
  <si>
    <t>birth_year</t>
  </si>
  <si>
    <t>birth_month</t>
  </si>
  <si>
    <t>birth_day</t>
  </si>
  <si>
    <t>birth_calendar</t>
  </si>
  <si>
    <t>death_date</t>
  </si>
  <si>
    <t>death_year</t>
  </si>
  <si>
    <t>death_month</t>
  </si>
  <si>
    <t>death_day</t>
  </si>
  <si>
    <t>death_calendar</t>
  </si>
  <si>
    <t>is_deceased</t>
  </si>
  <si>
    <t>phone</t>
  </si>
  <si>
    <t>address</t>
  </si>
  <si>
    <t>remark</t>
  </si>
  <si>
    <t>family_tree_id</t>
  </si>
  <si>
    <t>generation</t>
  </si>
  <si>
    <t>clan_name</t>
  </si>
  <si>
    <t>ancestral_home</t>
  </si>
  <si>
    <t>courtesy_name</t>
  </si>
  <si>
    <t>pseudonym</t>
  </si>
  <si>
    <t>education</t>
  </si>
  <si>
    <t>occupation</t>
  </si>
  <si>
    <t>spouses</t>
  </si>
  <si>
    <t>children</t>
  </si>
  <si>
    <t>parents</t>
  </si>
  <si>
    <t>aliases</t>
  </si>
  <si>
    <t>achievements</t>
  </si>
  <si>
    <t>biography</t>
  </si>
  <si>
    <t>张三</t>
  </si>
  <si>
    <t>male</t>
  </si>
  <si>
    <t>gregorian</t>
  </si>
  <si>
    <t>北京市朝阳区</t>
  </si>
  <si>
    <t>family001</t>
  </si>
  <si>
    <t>清河堂</t>
  </si>
  <si>
    <t>福建福州</t>
  </si>
  <si>
    <t>小明</t>
  </si>
  <si>
    <t>无名氏</t>
  </si>
  <si>
    <t>大学</t>
  </si>
  <si>
    <t>软件工程师</t>
  </si>
  <si>
    <t>["2"]</t>
  </si>
  <si>
    <t>["3","4"]</t>
  </si>
  <si>
    <t>["5","6"]</t>
  </si>
  <si>
    <t>["张小三","三娃"]</t>
  </si>
  <si>
    <t>["优秀员工奖","技术创新奖"]</t>
  </si>
  <si>
    <t>张三是家族中第一位大学生...</t>
  </si>
  <si>
    <t xml:space="preserve">13800138000 </t>
    <phoneticPr fontId="2" type="noConversion"/>
  </si>
  <si>
    <t>is_deceased</t>
    <phoneticPr fontId="2" type="noConversion"/>
  </si>
  <si>
    <t xml:space="preserve"> 字段名 </t>
  </si>
  <si>
    <t xml:space="preserve"> 类型 </t>
  </si>
  <si>
    <t xml:space="preserve"> 必填 </t>
  </si>
  <si>
    <t xml:space="preserve"> 说明 </t>
  </si>
  <si>
    <t>--------</t>
  </si>
  <si>
    <t>------</t>
  </si>
  <si>
    <t xml:space="preserve"> id </t>
  </si>
  <si>
    <t xml:space="preserve"> 字符串 </t>
  </si>
  <si>
    <t xml:space="preserve"> 是 </t>
  </si>
  <si>
    <t xml:space="preserve"> 成员唯一标识符 </t>
  </si>
  <si>
    <t xml:space="preserve"> name </t>
  </si>
  <si>
    <t xml:space="preserve"> 成员姓名 </t>
  </si>
  <si>
    <t xml:space="preserve"> gender </t>
  </si>
  <si>
    <t xml:space="preserve"> 否 </t>
  </si>
  <si>
    <t xml:space="preserve"> birth_date </t>
  </si>
  <si>
    <t xml:space="preserve"> 日期 </t>
  </si>
  <si>
    <t xml:space="preserve"> 出生日期 (YYYY-MM-DD) </t>
  </si>
  <si>
    <t xml:space="preserve"> birth_year </t>
  </si>
  <si>
    <t xml:space="preserve"> 数字 </t>
  </si>
  <si>
    <t xml:space="preserve"> 出生年份 </t>
  </si>
  <si>
    <t xml:space="preserve"> birth_month </t>
  </si>
  <si>
    <t xml:space="preserve"> 出生月份 </t>
  </si>
  <si>
    <t xml:space="preserve"> birth_day </t>
  </si>
  <si>
    <t xml:space="preserve"> 出生日期 </t>
  </si>
  <si>
    <t xml:space="preserve"> birth_calendar </t>
  </si>
  <si>
    <t xml:space="preserve"> 历法 (gregorian/lunar) </t>
  </si>
  <si>
    <t xml:space="preserve"> death_date </t>
  </si>
  <si>
    <t xml:space="preserve"> 死亡日期 (YYYY-MM-DD) </t>
  </si>
  <si>
    <t xml:space="preserve"> death_year </t>
  </si>
  <si>
    <t xml:space="preserve"> 死亡年份 </t>
  </si>
  <si>
    <t xml:space="preserve"> death_month </t>
  </si>
  <si>
    <t xml:space="preserve"> 死亡月份 </t>
  </si>
  <si>
    <t xml:space="preserve"> death_day </t>
  </si>
  <si>
    <t xml:space="preserve"> 死亡日期 </t>
  </si>
  <si>
    <t xml:space="preserve"> death_calendar </t>
  </si>
  <si>
    <t xml:space="preserve"> is_deceased </t>
  </si>
  <si>
    <t xml:space="preserve"> 是否已故 (0/1) </t>
  </si>
  <si>
    <t xml:space="preserve"> phone </t>
  </si>
  <si>
    <t xml:space="preserve"> 电话号码 </t>
  </si>
  <si>
    <t xml:space="preserve"> address </t>
  </si>
  <si>
    <t xml:space="preserve"> 地址 </t>
  </si>
  <si>
    <t xml:space="preserve"> remark </t>
  </si>
  <si>
    <t xml:space="preserve"> 备注 </t>
  </si>
  <si>
    <t xml:space="preserve"> family_tree_id </t>
  </si>
  <si>
    <t xml:space="preserve"> 家谱ID </t>
  </si>
  <si>
    <t xml:space="preserve"> generation </t>
  </si>
  <si>
    <t xml:space="preserve"> 世代 </t>
  </si>
  <si>
    <t xml:space="preserve"> clan_name </t>
  </si>
  <si>
    <t xml:space="preserve"> 堂号 </t>
  </si>
  <si>
    <t xml:space="preserve"> ancestral_home </t>
  </si>
  <si>
    <t xml:space="preserve"> 地望（祖籍） </t>
  </si>
  <si>
    <t xml:space="preserve"> courtesy_name </t>
  </si>
  <si>
    <t xml:space="preserve"> 字 </t>
  </si>
  <si>
    <t xml:space="preserve"> pseudonym </t>
  </si>
  <si>
    <t xml:space="preserve"> 号 </t>
  </si>
  <si>
    <t xml:space="preserve"> education </t>
  </si>
  <si>
    <t xml:space="preserve"> 教育背景 </t>
  </si>
  <si>
    <t xml:space="preserve"> occupation </t>
  </si>
  <si>
    <t xml:space="preserve"> 职业 </t>
  </si>
  <si>
    <t xml:space="preserve"> spouses </t>
  </si>
  <si>
    <t xml:space="preserve"> JSON数组 </t>
  </si>
  <si>
    <t xml:space="preserve"> 配偶ID列表 </t>
  </si>
  <si>
    <t xml:space="preserve"> children </t>
  </si>
  <si>
    <t xml:space="preserve"> 子女ID列表 </t>
  </si>
  <si>
    <t xml:space="preserve"> parents </t>
  </si>
  <si>
    <t xml:space="preserve"> 父母ID列表 </t>
  </si>
  <si>
    <t xml:space="preserve"> aliases </t>
  </si>
  <si>
    <t xml:space="preserve"> 曾用名列表 </t>
  </si>
  <si>
    <t xml:space="preserve"> achievements </t>
  </si>
  <si>
    <t xml:space="preserve"> 成就列表 </t>
  </si>
  <si>
    <t xml:space="preserve"> biography </t>
  </si>
  <si>
    <t xml:space="preserve"> 传记 </t>
  </si>
  <si>
    <t xml:space="preserve"> 性别 (male/female) </t>
    <phoneticPr fontId="2" type="noConversion"/>
  </si>
  <si>
    <t xml:space="preserve"> 历法 (gregorian/lunar) </t>
    <phoneticPr fontId="2" type="noConversion"/>
  </si>
  <si>
    <t>item</t>
    <phoneticPr fontId="3" type="noConversion"/>
  </si>
  <si>
    <t>辈称</t>
    <phoneticPr fontId="3" type="noConversion"/>
  </si>
  <si>
    <t>父辈</t>
    <phoneticPr fontId="3" type="noConversion"/>
  </si>
  <si>
    <t>称谓</t>
    <phoneticPr fontId="3" type="noConversion"/>
  </si>
  <si>
    <t>姓名</t>
    <phoneticPr fontId="3" type="noConversion"/>
  </si>
  <si>
    <t>出生年月</t>
    <phoneticPr fontId="3" type="noConversion"/>
  </si>
  <si>
    <t>农历</t>
    <phoneticPr fontId="3" type="noConversion"/>
  </si>
  <si>
    <t>生肖</t>
    <phoneticPr fontId="3" type="noConversion"/>
  </si>
  <si>
    <t>星座</t>
    <phoneticPr fontId="3" type="noConversion"/>
  </si>
  <si>
    <t>去世年月</t>
    <phoneticPr fontId="3" type="noConversion"/>
  </si>
  <si>
    <t>电话</t>
    <phoneticPr fontId="3" type="noConversion"/>
  </si>
  <si>
    <t>通讯地址</t>
    <phoneticPr fontId="3" type="noConversion"/>
  </si>
  <si>
    <t>备注</t>
    <phoneticPr fontId="3" type="noConversion"/>
  </si>
  <si>
    <t>a1</t>
    <phoneticPr fontId="3" type="noConversion"/>
  </si>
  <si>
    <t>父</t>
    <phoneticPr fontId="3" type="noConversion"/>
  </si>
  <si>
    <t>陈兴田</t>
    <phoneticPr fontId="3" type="noConversion"/>
  </si>
  <si>
    <t>福州台屿乡 曾用名陈细俤</t>
    <phoneticPr fontId="3" type="noConversion"/>
  </si>
  <si>
    <t>a2</t>
    <phoneticPr fontId="3" type="noConversion"/>
  </si>
  <si>
    <t>母</t>
    <phoneticPr fontId="3" type="noConversion"/>
  </si>
  <si>
    <t>李大妹</t>
    <phoneticPr fontId="3" type="noConversion"/>
  </si>
  <si>
    <t>農1871/7/12</t>
    <phoneticPr fontId="3" type="noConversion"/>
  </si>
  <si>
    <t>1871/7/12</t>
    <phoneticPr fontId="3" type="noConversion"/>
  </si>
  <si>
    <t>農1951/7/5</t>
    <phoneticPr fontId="3" type="noConversion"/>
  </si>
  <si>
    <t>福州上湖乡</t>
    <phoneticPr fontId="3" type="noConversion"/>
  </si>
  <si>
    <t>female</t>
  </si>
  <si>
    <t>1871/7/12</t>
  </si>
  <si>
    <t>lunar</t>
  </si>
  <si>
    <t>福州台屿乡</t>
  </si>
  <si>
    <t>b01</t>
    <phoneticPr fontId="3" type="noConversion"/>
  </si>
  <si>
    <t>子</t>
    <phoneticPr fontId="3" type="noConversion"/>
  </si>
  <si>
    <t>陈森铨</t>
    <phoneticPr fontId="3" type="noConversion"/>
  </si>
  <si>
    <t>農1898/3/5</t>
    <phoneticPr fontId="3" type="noConversion"/>
  </si>
  <si>
    <t>農1974/12/15</t>
    <phoneticPr fontId="3" type="noConversion"/>
  </si>
  <si>
    <t>福州台屿乡 曾用名陈依妹</t>
    <phoneticPr fontId="3" type="noConversion"/>
  </si>
  <si>
    <t>b02</t>
    <phoneticPr fontId="3" type="noConversion"/>
  </si>
  <si>
    <t>妻</t>
    <phoneticPr fontId="3" type="noConversion"/>
  </si>
  <si>
    <t>黄三妹</t>
    <phoneticPr fontId="3" type="noConversion"/>
  </si>
  <si>
    <t>農1959/11/26</t>
    <phoneticPr fontId="3" type="noConversion"/>
  </si>
  <si>
    <t>福州虞塘头</t>
    <phoneticPr fontId="3" type="noConversion"/>
  </si>
  <si>
    <t>b11</t>
    <phoneticPr fontId="3" type="noConversion"/>
  </si>
  <si>
    <t>長子</t>
    <phoneticPr fontId="3" type="noConversion"/>
  </si>
  <si>
    <t>陳森銓</t>
    <phoneticPr fontId="3" type="noConversion"/>
  </si>
  <si>
    <t>陳本清</t>
    <phoneticPr fontId="3" type="noConversion"/>
  </si>
  <si>
    <t>2018/6/23</t>
    <phoneticPr fontId="3" type="noConversion"/>
  </si>
  <si>
    <t>b12</t>
    <phoneticPr fontId="3" type="noConversion"/>
  </si>
  <si>
    <t>長媳</t>
    <phoneticPr fontId="3" type="noConversion"/>
  </si>
  <si>
    <t>李瑞春</t>
    <phoneticPr fontId="3" type="noConversion"/>
  </si>
  <si>
    <t>+886-911557388</t>
  </si>
  <si>
    <t>b111</t>
    <phoneticPr fontId="3" type="noConversion"/>
  </si>
  <si>
    <t>長女</t>
    <phoneticPr fontId="3" type="noConversion"/>
  </si>
  <si>
    <t>陳致真</t>
    <phoneticPr fontId="3" type="noConversion"/>
  </si>
  <si>
    <t>+886-937985686</t>
  </si>
  <si>
    <t>b112</t>
    <phoneticPr fontId="3" type="noConversion"/>
  </si>
  <si>
    <t>女婿</t>
    <phoneticPr fontId="3" type="noConversion"/>
  </si>
  <si>
    <t>陳進陽</t>
    <phoneticPr fontId="3" type="noConversion"/>
  </si>
  <si>
    <t>+886-911569596</t>
    <phoneticPr fontId="3" type="noConversion"/>
  </si>
  <si>
    <t>b1111</t>
    <phoneticPr fontId="3" type="noConversion"/>
  </si>
  <si>
    <t>外孫</t>
    <phoneticPr fontId="3" type="noConversion"/>
  </si>
  <si>
    <t>陳昱升</t>
    <phoneticPr fontId="3" type="noConversion"/>
  </si>
  <si>
    <t>+886-919399403</t>
    <phoneticPr fontId="3" type="noConversion"/>
  </si>
  <si>
    <t>b121</t>
    <phoneticPr fontId="3" type="noConversion"/>
  </si>
  <si>
    <t>陳致彤</t>
    <phoneticPr fontId="3" type="noConversion"/>
  </si>
  <si>
    <t>male</t>
    <phoneticPr fontId="3" type="noConversion"/>
  </si>
  <si>
    <t>b122</t>
    <phoneticPr fontId="3" type="noConversion"/>
  </si>
  <si>
    <t>趙瑋</t>
    <phoneticPr fontId="3" type="noConversion"/>
  </si>
  <si>
    <t>female</t>
    <phoneticPr fontId="3" type="noConversion"/>
  </si>
  <si>
    <t>b1211</t>
    <phoneticPr fontId="3" type="noConversion"/>
  </si>
  <si>
    <t>長孫</t>
    <phoneticPr fontId="3" type="noConversion"/>
  </si>
  <si>
    <t>陳牧懷</t>
    <phoneticPr fontId="3" type="noConversion"/>
  </si>
  <si>
    <t>b131</t>
    <phoneticPr fontId="3" type="noConversion"/>
  </si>
  <si>
    <t>次子</t>
    <phoneticPr fontId="3" type="noConversion"/>
  </si>
  <si>
    <t>陳致彣</t>
    <phoneticPr fontId="3" type="noConversion"/>
  </si>
  <si>
    <t>150-0125-3745</t>
    <phoneticPr fontId="3" type="noConversion"/>
  </si>
  <si>
    <t>b132</t>
    <phoneticPr fontId="3" type="noConversion"/>
  </si>
  <si>
    <t>次媳</t>
    <phoneticPr fontId="3" type="noConversion"/>
  </si>
  <si>
    <t>孫亞男</t>
    <phoneticPr fontId="3" type="noConversion"/>
  </si>
  <si>
    <t>137-0599-0795</t>
    <phoneticPr fontId="3" type="noConversion"/>
  </si>
  <si>
    <t>b1311</t>
    <phoneticPr fontId="3" type="noConversion"/>
  </si>
  <si>
    <t>次孫</t>
    <phoneticPr fontId="3" type="noConversion"/>
  </si>
  <si>
    <t>陳恩</t>
    <phoneticPr fontId="3" type="noConversion"/>
  </si>
  <si>
    <t>+886-968695533</t>
  </si>
  <si>
    <t>母刘瑞婷</t>
    <phoneticPr fontId="3" type="noConversion"/>
  </si>
  <si>
    <t>b1312</t>
    <phoneticPr fontId="3" type="noConversion"/>
  </si>
  <si>
    <t>孫女</t>
    <phoneticPr fontId="3" type="noConversion"/>
  </si>
  <si>
    <t>陳惠</t>
    <phoneticPr fontId="3" type="noConversion"/>
  </si>
  <si>
    <t>+886-935303921</t>
  </si>
  <si>
    <t>b1313</t>
    <phoneticPr fontId="3" type="noConversion"/>
  </si>
  <si>
    <t>陳瑄</t>
    <phoneticPr fontId="3" type="noConversion"/>
  </si>
  <si>
    <t>136-7501-8716</t>
    <phoneticPr fontId="3" type="noConversion"/>
  </si>
  <si>
    <t>b21</t>
    <phoneticPr fontId="3" type="noConversion"/>
  </si>
  <si>
    <t>长女</t>
    <phoneticPr fontId="3" type="noConversion"/>
  </si>
  <si>
    <t>陈岩</t>
    <phoneticPr fontId="3" type="noConversion"/>
  </si>
  <si>
    <t>b22</t>
    <phoneticPr fontId="3" type="noConversion"/>
  </si>
  <si>
    <t>孙作清</t>
    <phoneticPr fontId="3" type="noConversion"/>
  </si>
  <si>
    <t>b211</t>
    <phoneticPr fontId="3" type="noConversion"/>
  </si>
  <si>
    <t>陈晓岩</t>
    <phoneticPr fontId="3" type="noConversion"/>
  </si>
  <si>
    <t>177-7332-6128</t>
    <phoneticPr fontId="3" type="noConversion"/>
  </si>
  <si>
    <t>b212</t>
    <phoneticPr fontId="3" type="noConversion"/>
  </si>
  <si>
    <t>夏海纯</t>
    <phoneticPr fontId="3" type="noConversion"/>
  </si>
  <si>
    <t>b2111</t>
    <phoneticPr fontId="3" type="noConversion"/>
  </si>
  <si>
    <t>外孙</t>
    <phoneticPr fontId="3" type="noConversion"/>
  </si>
  <si>
    <t>夏雨滋</t>
    <phoneticPr fontId="3" type="noConversion"/>
  </si>
  <si>
    <t>b221</t>
    <phoneticPr fontId="3" type="noConversion"/>
  </si>
  <si>
    <t>长子</t>
    <phoneticPr fontId="3" type="noConversion"/>
  </si>
  <si>
    <t>孙武</t>
    <phoneticPr fontId="3" type="noConversion"/>
  </si>
  <si>
    <t>b222</t>
    <phoneticPr fontId="3" type="noConversion"/>
  </si>
  <si>
    <t>长媳</t>
    <phoneticPr fontId="3" type="noConversion"/>
  </si>
  <si>
    <t>文敏</t>
    <phoneticPr fontId="3" type="noConversion"/>
  </si>
  <si>
    <t>b2211</t>
    <phoneticPr fontId="3" type="noConversion"/>
  </si>
  <si>
    <t>孙女</t>
    <phoneticPr fontId="3" type="noConversion"/>
  </si>
  <si>
    <t>孙锦琳</t>
    <phoneticPr fontId="3" type="noConversion"/>
  </si>
  <si>
    <t>b31</t>
    <phoneticPr fontId="3" type="noConversion"/>
  </si>
  <si>
    <t>黃學治</t>
    <phoneticPr fontId="3" type="noConversion"/>
  </si>
  <si>
    <t>b32</t>
    <phoneticPr fontId="3" type="noConversion"/>
  </si>
  <si>
    <t>陳秀珠</t>
    <phoneticPr fontId="3" type="noConversion"/>
  </si>
  <si>
    <t>b311</t>
    <phoneticPr fontId="3" type="noConversion"/>
  </si>
  <si>
    <t>黃惠蘭</t>
    <phoneticPr fontId="3" type="noConversion"/>
  </si>
  <si>
    <t>b312</t>
    <phoneticPr fontId="3" type="noConversion"/>
  </si>
  <si>
    <t>黃義雄</t>
    <phoneticPr fontId="3" type="noConversion"/>
  </si>
  <si>
    <t>b3111</t>
    <phoneticPr fontId="3" type="noConversion"/>
  </si>
  <si>
    <t>黃耀名</t>
    <phoneticPr fontId="3" type="noConversion"/>
  </si>
  <si>
    <t>b3112</t>
    <phoneticPr fontId="3" type="noConversion"/>
  </si>
  <si>
    <t>黃耀正</t>
    <phoneticPr fontId="3" type="noConversion"/>
  </si>
  <si>
    <t>b3113</t>
    <phoneticPr fontId="3" type="noConversion"/>
  </si>
  <si>
    <t>黃詩庭</t>
    <phoneticPr fontId="3" type="noConversion"/>
  </si>
  <si>
    <t>b321</t>
    <phoneticPr fontId="3" type="noConversion"/>
  </si>
  <si>
    <t>次女</t>
    <phoneticPr fontId="3" type="noConversion"/>
  </si>
  <si>
    <t>黃怡琳</t>
    <phoneticPr fontId="3" type="noConversion"/>
  </si>
  <si>
    <t>b322</t>
    <phoneticPr fontId="3" type="noConversion"/>
  </si>
  <si>
    <t>b3211</t>
    <phoneticPr fontId="3" type="noConversion"/>
  </si>
  <si>
    <t>b41</t>
    <phoneticPr fontId="3" type="noConversion"/>
  </si>
  <si>
    <t>三子</t>
    <phoneticPr fontId="3" type="noConversion"/>
  </si>
  <si>
    <t>陈本煊</t>
    <phoneticPr fontId="3" type="noConversion"/>
  </si>
  <si>
    <t>b42</t>
    <phoneticPr fontId="3" type="noConversion"/>
  </si>
  <si>
    <t>三媳</t>
    <phoneticPr fontId="3" type="noConversion"/>
  </si>
  <si>
    <t>朱琼</t>
    <phoneticPr fontId="3" type="noConversion"/>
  </si>
  <si>
    <t>2002/2/5</t>
    <phoneticPr fontId="3" type="noConversion"/>
  </si>
  <si>
    <t>2001年腊月20</t>
    <phoneticPr fontId="3" type="noConversion"/>
  </si>
  <si>
    <t>b411</t>
    <phoneticPr fontId="3" type="noConversion"/>
  </si>
  <si>
    <t>陈芳</t>
    <phoneticPr fontId="3" type="noConversion"/>
  </si>
  <si>
    <t>b412</t>
    <phoneticPr fontId="3" type="noConversion"/>
  </si>
  <si>
    <t>范亚平</t>
    <phoneticPr fontId="3" type="noConversion"/>
  </si>
  <si>
    <t>b4111</t>
    <phoneticPr fontId="3" type="noConversion"/>
  </si>
  <si>
    <t>范之闽</t>
    <phoneticPr fontId="3" type="noConversion"/>
  </si>
  <si>
    <t>b421</t>
    <phoneticPr fontId="3" type="noConversion"/>
  </si>
  <si>
    <t>陈倩</t>
    <phoneticPr fontId="3" type="noConversion"/>
  </si>
  <si>
    <t>b422</t>
    <phoneticPr fontId="3" type="noConversion"/>
  </si>
  <si>
    <t>周效平</t>
    <phoneticPr fontId="3" type="noConversion"/>
  </si>
  <si>
    <t>b4211</t>
    <phoneticPr fontId="3" type="noConversion"/>
  </si>
  <si>
    <t>周静雅</t>
    <phoneticPr fontId="3" type="noConversion"/>
  </si>
  <si>
    <t>b51</t>
    <phoneticPr fontId="3" type="noConversion"/>
  </si>
  <si>
    <t>陈奕贞</t>
    <phoneticPr fontId="3" type="noConversion"/>
  </si>
  <si>
    <t>b52</t>
    <phoneticPr fontId="3" type="noConversion"/>
  </si>
  <si>
    <t>b511</t>
    <phoneticPr fontId="3" type="noConversion"/>
  </si>
  <si>
    <t>李伯伟</t>
    <phoneticPr fontId="3" type="noConversion"/>
  </si>
  <si>
    <t>b512</t>
    <phoneticPr fontId="3" type="noConversion"/>
  </si>
  <si>
    <t>李运秀</t>
    <phoneticPr fontId="3" type="noConversion"/>
  </si>
  <si>
    <t>b5111</t>
    <phoneticPr fontId="3" type="noConversion"/>
  </si>
  <si>
    <t>李琼</t>
    <phoneticPr fontId="3" type="noConversion"/>
  </si>
  <si>
    <t>b5112</t>
    <phoneticPr fontId="3" type="noConversion"/>
  </si>
  <si>
    <t>李桂芳</t>
    <phoneticPr fontId="3" type="noConversion"/>
  </si>
  <si>
    <t>b5113</t>
    <phoneticPr fontId="3" type="noConversion"/>
  </si>
  <si>
    <t>长孙</t>
    <phoneticPr fontId="3" type="noConversion"/>
  </si>
  <si>
    <t>李鑫</t>
    <phoneticPr fontId="3" type="noConversion"/>
  </si>
  <si>
    <t>b521</t>
    <phoneticPr fontId="3" type="noConversion"/>
  </si>
  <si>
    <t>李伯永</t>
    <phoneticPr fontId="3" type="noConversion"/>
  </si>
  <si>
    <t>b522</t>
    <phoneticPr fontId="3" type="noConversion"/>
  </si>
  <si>
    <t>谢兰钦</t>
    <phoneticPr fontId="3" type="noConversion"/>
  </si>
  <si>
    <t>b5211</t>
    <phoneticPr fontId="3" type="noConversion"/>
  </si>
  <si>
    <t>李城</t>
    <phoneticPr fontId="3" type="noConversion"/>
  </si>
  <si>
    <t>b5212</t>
    <phoneticPr fontId="3" type="noConversion"/>
  </si>
  <si>
    <t>三孫</t>
    <phoneticPr fontId="3" type="noConversion"/>
  </si>
  <si>
    <t>李益强</t>
    <phoneticPr fontId="3" type="noConversion"/>
  </si>
  <si>
    <t>b531</t>
    <phoneticPr fontId="3" type="noConversion"/>
  </si>
  <si>
    <t>李丽彬</t>
    <phoneticPr fontId="3" type="noConversion"/>
  </si>
  <si>
    <t>b532</t>
    <phoneticPr fontId="3" type="noConversion"/>
  </si>
  <si>
    <t>王爱彬</t>
    <phoneticPr fontId="3" type="noConversion"/>
  </si>
  <si>
    <t>b5311</t>
    <phoneticPr fontId="3" type="noConversion"/>
  </si>
  <si>
    <t>王云海</t>
    <phoneticPr fontId="3" type="noConversion"/>
  </si>
  <si>
    <t>b541</t>
    <phoneticPr fontId="3" type="noConversion"/>
  </si>
  <si>
    <t>李丽华</t>
    <phoneticPr fontId="3" type="noConversion"/>
  </si>
  <si>
    <t>b542</t>
    <phoneticPr fontId="3" type="noConversion"/>
  </si>
  <si>
    <t>刘细俤</t>
    <phoneticPr fontId="3" type="noConversion"/>
  </si>
  <si>
    <t>b5411</t>
    <phoneticPr fontId="3" type="noConversion"/>
  </si>
  <si>
    <t>刘必心</t>
    <phoneticPr fontId="3" type="noConversion"/>
  </si>
  <si>
    <t>b61</t>
    <phoneticPr fontId="3" type="noConversion"/>
  </si>
  <si>
    <t>四子</t>
    <phoneticPr fontId="3" type="noConversion"/>
  </si>
  <si>
    <t>陈超</t>
    <phoneticPr fontId="3" type="noConversion"/>
  </si>
  <si>
    <t>b62</t>
    <phoneticPr fontId="3" type="noConversion"/>
  </si>
  <si>
    <t>四媳</t>
    <phoneticPr fontId="3" type="noConversion"/>
  </si>
  <si>
    <t>郭瑞金</t>
    <phoneticPr fontId="3" type="noConversion"/>
  </si>
  <si>
    <t>b611</t>
    <phoneticPr fontId="3" type="noConversion"/>
  </si>
  <si>
    <t>陈坚</t>
    <phoneticPr fontId="3" type="noConversion"/>
  </si>
  <si>
    <t>133-0590-0656</t>
    <phoneticPr fontId="3" type="noConversion"/>
  </si>
  <si>
    <t>b612</t>
    <phoneticPr fontId="3" type="noConversion"/>
  </si>
  <si>
    <t>贾东巍</t>
    <phoneticPr fontId="3" type="noConversion"/>
  </si>
  <si>
    <t>137-0507-7172</t>
    <phoneticPr fontId="3" type="noConversion"/>
  </si>
  <si>
    <t>b6111</t>
    <phoneticPr fontId="3" type="noConversion"/>
  </si>
  <si>
    <t>陈嘉骁</t>
    <phoneticPr fontId="3" type="noConversion"/>
  </si>
  <si>
    <t>b621</t>
    <phoneticPr fontId="3" type="noConversion"/>
  </si>
  <si>
    <t>陈炜</t>
    <phoneticPr fontId="3" type="noConversion"/>
  </si>
  <si>
    <t>135-0935-6032</t>
    <phoneticPr fontId="3" type="noConversion"/>
  </si>
  <si>
    <t>b71</t>
    <phoneticPr fontId="3" type="noConversion"/>
  </si>
  <si>
    <t>五子</t>
    <phoneticPr fontId="3" type="noConversion"/>
  </si>
  <si>
    <t>陈永</t>
    <phoneticPr fontId="3" type="noConversion"/>
  </si>
  <si>
    <t>138-0875-5892</t>
    <phoneticPr fontId="3" type="noConversion"/>
  </si>
  <si>
    <t>b72</t>
    <phoneticPr fontId="3" type="noConversion"/>
  </si>
  <si>
    <t>五媳</t>
    <phoneticPr fontId="3" type="noConversion"/>
  </si>
  <si>
    <t>黄永芬</t>
    <phoneticPr fontId="3" type="noConversion"/>
  </si>
  <si>
    <t>b711</t>
    <phoneticPr fontId="3" type="noConversion"/>
  </si>
  <si>
    <t>陈旻瑜</t>
    <phoneticPr fontId="3" type="noConversion"/>
  </si>
  <si>
    <t>136-3222-1811</t>
    <phoneticPr fontId="3" type="noConversion"/>
  </si>
  <si>
    <t>b712</t>
    <phoneticPr fontId="3" type="noConversion"/>
  </si>
  <si>
    <t>郭吉安</t>
    <phoneticPr fontId="3" type="noConversion"/>
  </si>
  <si>
    <t>b7111</t>
    <phoneticPr fontId="3" type="noConversion"/>
  </si>
  <si>
    <t>郭奕霏</t>
    <phoneticPr fontId="3" type="noConversion"/>
  </si>
  <si>
    <t>b721</t>
    <phoneticPr fontId="3" type="noConversion"/>
  </si>
  <si>
    <t>陈旻波</t>
    <phoneticPr fontId="3" type="noConversion"/>
  </si>
  <si>
    <t>135-2916-4523</t>
    <phoneticPr fontId="3" type="noConversion"/>
  </si>
  <si>
    <t>b722</t>
    <phoneticPr fontId="3" type="noConversion"/>
  </si>
  <si>
    <t>长媳</t>
    <phoneticPr fontId="3" type="noConversion"/>
  </si>
  <si>
    <t>周原馨</t>
    <phoneticPr fontId="3" type="noConversion"/>
  </si>
  <si>
    <t>b7211</t>
    <phoneticPr fontId="3" type="noConversion"/>
  </si>
  <si>
    <t>长孫</t>
    <phoneticPr fontId="3" type="noConversion"/>
  </si>
  <si>
    <t>陈俞宏</t>
    <phoneticPr fontId="3" type="noConversion"/>
  </si>
  <si>
    <t>b7212</t>
    <phoneticPr fontId="3" type="noConversion"/>
  </si>
  <si>
    <t>陈俞含</t>
    <phoneticPr fontId="3" type="noConversion"/>
  </si>
  <si>
    <t>female</t>
    <phoneticPr fontId="2" type="noConversion"/>
  </si>
  <si>
    <t>male</t>
    <phoneticPr fontId="2" type="noConversion"/>
  </si>
  <si>
    <t>陈本流</t>
    <phoneticPr fontId="2" type="noConversion"/>
  </si>
  <si>
    <t>1898/3/5</t>
    <phoneticPr fontId="2" type="noConversion"/>
  </si>
  <si>
    <t>福州上湖乡</t>
  </si>
  <si>
    <t>["b11","b31","b41","b51","b61","b71"]</t>
  </si>
  <si>
    <t>["a1","a2"]</t>
  </si>
  <si>
    <t>["b02"]</t>
  </si>
  <si>
    <t>["b11","b12"]</t>
  </si>
  <si>
    <t>["b21","b22"]</t>
  </si>
  <si>
    <t>b31</t>
  </si>
  <si>
    <t>b32</t>
  </si>
  <si>
    <t>["b31","b32"]</t>
  </si>
  <si>
    <t>b41</t>
  </si>
  <si>
    <t>b42</t>
  </si>
  <si>
    <t>["b41","b42"]</t>
  </si>
  <si>
    <t>["b51","b52"]</t>
  </si>
  <si>
    <t>李思忠</t>
  </si>
  <si>
    <t>李思忠</t>
    <phoneticPr fontId="3" type="noConversion"/>
  </si>
  <si>
    <t>["b61","b62"]</t>
  </si>
  <si>
    <t>["b71","b72"]</t>
  </si>
  <si>
    <t>["b111","b112"]</t>
  </si>
  <si>
    <t>["b121","b122"]</t>
  </si>
  <si>
    <t>["b131","b132"]</t>
  </si>
  <si>
    <t>["b131"]</t>
  </si>
  <si>
    <t>["b131"]</t>
    <phoneticPr fontId="2" type="noConversion"/>
  </si>
  <si>
    <t>["b212"]</t>
  </si>
  <si>
    <t>["b211"]</t>
  </si>
  <si>
    <t>["b222"]</t>
  </si>
  <si>
    <t>["b221"]</t>
  </si>
  <si>
    <t>["b312"]</t>
  </si>
  <si>
    <t>["b311"]</t>
  </si>
  <si>
    <t>["b322"]</t>
  </si>
  <si>
    <t>["b321"]</t>
  </si>
  <si>
    <t>["b211","b212"]</t>
  </si>
  <si>
    <t>["b221","b222"]</t>
  </si>
  <si>
    <t>["b311","b312"]</t>
  </si>
  <si>
    <t>["b411","b412"]</t>
  </si>
  <si>
    <t>["b511","b512"]</t>
  </si>
  <si>
    <t>["b521","b522"]</t>
  </si>
  <si>
    <t>["b531","b532"]</t>
  </si>
  <si>
    <t>["b541","b542"]</t>
  </si>
  <si>
    <t>["b611","b612"]</t>
  </si>
  <si>
    <t>["b711","b712"]</t>
  </si>
  <si>
    <t>["b721","b722"]</t>
  </si>
  <si>
    <t>["b111","b121","b131"]</t>
  </si>
  <si>
    <t>["b1111"]</t>
  </si>
  <si>
    <t>["b1211"]</t>
  </si>
  <si>
    <t>["b1311","b1312","b1313"]</t>
  </si>
  <si>
    <t>["b211","b221"]</t>
  </si>
  <si>
    <t>["b2111"]</t>
  </si>
  <si>
    <t>["b2211"]</t>
    <phoneticPr fontId="2" type="noConversion"/>
  </si>
  <si>
    <t>["b311","b321"]</t>
  </si>
  <si>
    <t>["b3111","b3112","b3113"]</t>
  </si>
  <si>
    <t>陈本煊</t>
  </si>
  <si>
    <t>黃學治</t>
  </si>
  <si>
    <t>["b411","b421"]</t>
  </si>
  <si>
    <t>["b4111"]</t>
  </si>
  <si>
    <t>["b4211"]</t>
    <phoneticPr fontId="2" type="noConversion"/>
  </si>
  <si>
    <t>["b511","b521","b531","b541"]</t>
  </si>
  <si>
    <t>["b5111","b5112","b5113"]</t>
  </si>
  <si>
    <t>["b5211","b5212"]</t>
  </si>
  <si>
    <t>["b5311"]</t>
  </si>
  <si>
    <t>["b5411"]</t>
    <phoneticPr fontId="2" type="noConversion"/>
  </si>
  <si>
    <t>["b611","b621"]</t>
  </si>
  <si>
    <t>["b6111"]</t>
    <phoneticPr fontId="2" type="noConversion"/>
  </si>
  <si>
    <t>["b71"]</t>
  </si>
  <si>
    <t>["b72"]</t>
  </si>
  <si>
    <t>["b711"]</t>
  </si>
  <si>
    <t>["b712"]</t>
  </si>
  <si>
    <t>["b721"]</t>
  </si>
  <si>
    <t>["b722"]</t>
  </si>
  <si>
    <t>["b711","b721"]</t>
  </si>
  <si>
    <t>["b7111"]</t>
    <phoneticPr fontId="2" type="noConversion"/>
  </si>
  <si>
    <t>["b7211","b7212"]</t>
  </si>
  <si>
    <t>["陈细俤"]</t>
    <phoneticPr fontId="2" type="noConversion"/>
  </si>
  <si>
    <t>["陈依妹"]</t>
    <phoneticPr fontId="2" type="noConversion"/>
  </si>
  <si>
    <t>["陈本流"]</t>
    <phoneticPr fontId="2" type="noConversion"/>
  </si>
  <si>
    <t>a1</t>
  </si>
  <si>
    <t>陈兴田</t>
  </si>
  <si>
    <t/>
  </si>
  <si>
    <t>["a2"]</t>
  </si>
  <si>
    <t>["b01"]</t>
  </si>
  <si>
    <t>a2</t>
  </si>
  <si>
    <t>李大妹</t>
  </si>
  <si>
    <t>["a1"]</t>
  </si>
  <si>
    <t>陈森铨</t>
  </si>
  <si>
    <t>黄三妹</t>
  </si>
  <si>
    <t>b11</t>
  </si>
  <si>
    <t>陳本清</t>
  </si>
  <si>
    <t>1927</t>
  </si>
  <si>
    <t>9</t>
  </si>
  <si>
    <t>1</t>
  </si>
  <si>
    <t>2018/6/23</t>
  </si>
  <si>
    <t>2018</t>
  </si>
  <si>
    <t>6</t>
  </si>
  <si>
    <t>23</t>
  </si>
  <si>
    <t>["b12"]</t>
  </si>
  <si>
    <t>b12</t>
  </si>
  <si>
    <t>李瑞春</t>
  </si>
  <si>
    <t>1938</t>
  </si>
  <si>
    <t>2</t>
  </si>
  <si>
    <t>28</t>
  </si>
  <si>
    <t>["b11"]</t>
  </si>
  <si>
    <t>b111</t>
  </si>
  <si>
    <t>陳致真</t>
  </si>
  <si>
    <t>1962</t>
  </si>
  <si>
    <t>5</t>
  </si>
  <si>
    <t>3</t>
  </si>
  <si>
    <t>["b112"]</t>
  </si>
  <si>
    <t>b112</t>
  </si>
  <si>
    <t>陳進陽</t>
  </si>
  <si>
    <t>1960</t>
  </si>
  <si>
    <t>19</t>
  </si>
  <si>
    <t>+886-911569596</t>
  </si>
  <si>
    <t>["b111"]</t>
  </si>
  <si>
    <t>b1111</t>
  </si>
  <si>
    <t>陳昱升</t>
  </si>
  <si>
    <t>1993</t>
  </si>
  <si>
    <t>+886-919399403</t>
  </si>
  <si>
    <t>b121</t>
  </si>
  <si>
    <t>陳致彤</t>
  </si>
  <si>
    <t>1963</t>
  </si>
  <si>
    <t>11</t>
  </si>
  <si>
    <t>24</t>
  </si>
  <si>
    <t>["b122"]</t>
  </si>
  <si>
    <t>b122</t>
  </si>
  <si>
    <t>趙瑋</t>
  </si>
  <si>
    <t>1966</t>
  </si>
  <si>
    <t>10</t>
  </si>
  <si>
    <t>["b121"]</t>
  </si>
  <si>
    <t>b1211</t>
  </si>
  <si>
    <t>陳牧懷</t>
  </si>
  <si>
    <t>1997</t>
  </si>
  <si>
    <t>b131</t>
  </si>
  <si>
    <t>陳致彣</t>
  </si>
  <si>
    <t>1968</t>
  </si>
  <si>
    <t>12</t>
  </si>
  <si>
    <t>22</t>
  </si>
  <si>
    <t>150-0125-3745</t>
  </si>
  <si>
    <t>["b132"]</t>
  </si>
  <si>
    <t>b132</t>
  </si>
  <si>
    <t>孫亞男</t>
  </si>
  <si>
    <t>1975</t>
  </si>
  <si>
    <t>137-0599-0795</t>
  </si>
  <si>
    <t>b1311</t>
  </si>
  <si>
    <t>陳恩</t>
  </si>
  <si>
    <t>1999</t>
  </si>
  <si>
    <t>b1312</t>
  </si>
  <si>
    <t>陳惠</t>
  </si>
  <si>
    <t>2002</t>
  </si>
  <si>
    <t>7</t>
  </si>
  <si>
    <t>b1313</t>
  </si>
  <si>
    <t>陳瑄</t>
  </si>
  <si>
    <t>2012</t>
  </si>
  <si>
    <t>136-7501-8716</t>
  </si>
  <si>
    <t>b21</t>
  </si>
  <si>
    <t>陈岩</t>
  </si>
  <si>
    <t>1928</t>
  </si>
  <si>
    <t>["b22"]</t>
  </si>
  <si>
    <t>b22</t>
  </si>
  <si>
    <t>孙作清</t>
  </si>
  <si>
    <t>1925</t>
  </si>
  <si>
    <t>["b21"]</t>
  </si>
  <si>
    <t>b211</t>
  </si>
  <si>
    <t>陈晓岩</t>
  </si>
  <si>
    <t>177-7332-6128</t>
  </si>
  <si>
    <t>b212</t>
  </si>
  <si>
    <t>夏海纯</t>
  </si>
  <si>
    <t>1961</t>
  </si>
  <si>
    <t>b2111</t>
  </si>
  <si>
    <t>夏雨滋</t>
  </si>
  <si>
    <t>1989</t>
  </si>
  <si>
    <t>b221</t>
  </si>
  <si>
    <t>孙武</t>
  </si>
  <si>
    <t>4</t>
  </si>
  <si>
    <t>b222</t>
  </si>
  <si>
    <t>文敏</t>
  </si>
  <si>
    <t>1971</t>
  </si>
  <si>
    <t>b2211</t>
  </si>
  <si>
    <t>孙锦琳</t>
  </si>
  <si>
    <t>1931</t>
  </si>
  <si>
    <t>["b32"]</t>
  </si>
  <si>
    <t>陳秀珠</t>
  </si>
  <si>
    <t>1948</t>
  </si>
  <si>
    <t>8</t>
  </si>
  <si>
    <t>["b31"]</t>
  </si>
  <si>
    <t>b311</t>
  </si>
  <si>
    <t>黃惠蘭</t>
  </si>
  <si>
    <t>1970</t>
  </si>
  <si>
    <t>21</t>
  </si>
  <si>
    <t>2022</t>
  </si>
  <si>
    <t>b312</t>
  </si>
  <si>
    <t>黃義雄</t>
  </si>
  <si>
    <t>1969</t>
  </si>
  <si>
    <t>15</t>
  </si>
  <si>
    <t>b3111</t>
  </si>
  <si>
    <t>黃耀名</t>
  </si>
  <si>
    <t>1988</t>
  </si>
  <si>
    <t>16</t>
  </si>
  <si>
    <t>b3112</t>
  </si>
  <si>
    <t>黃耀正</t>
  </si>
  <si>
    <t>1991</t>
  </si>
  <si>
    <t>b3113</t>
  </si>
  <si>
    <t>黃詩庭</t>
  </si>
  <si>
    <t>17</t>
  </si>
  <si>
    <t>b321</t>
  </si>
  <si>
    <t>黃怡琳</t>
  </si>
  <si>
    <t>1978</t>
  </si>
  <si>
    <t>b322</t>
  </si>
  <si>
    <t>1900</t>
  </si>
  <si>
    <t>0</t>
  </si>
  <si>
    <t>b3211</t>
  </si>
  <si>
    <t>1935</t>
  </si>
  <si>
    <t>14</t>
  </si>
  <si>
    <t>["b42"]</t>
  </si>
  <si>
    <t>朱琼</t>
  </si>
  <si>
    <t>1942</t>
  </si>
  <si>
    <t>2002/2/5</t>
  </si>
  <si>
    <t>["b41"]</t>
  </si>
  <si>
    <t>b411</t>
  </si>
  <si>
    <t>陈芳</t>
  </si>
  <si>
    <t>["b412"]</t>
  </si>
  <si>
    <t>b412</t>
  </si>
  <si>
    <t>范亚平</t>
  </si>
  <si>
    <t>1964</t>
  </si>
  <si>
    <t>["b411"]</t>
  </si>
  <si>
    <t>b4111</t>
  </si>
  <si>
    <t>范之闽</t>
  </si>
  <si>
    <t>b421</t>
  </si>
  <si>
    <t>陈倩</t>
  </si>
  <si>
    <t>["b422"]</t>
  </si>
  <si>
    <t>b422</t>
  </si>
  <si>
    <t>周效平</t>
  </si>
  <si>
    <t>["b421"]</t>
  </si>
  <si>
    <t>b4211</t>
  </si>
  <si>
    <t>周静雅</t>
  </si>
  <si>
    <t>1994</t>
  </si>
  <si>
    <t>b51</t>
  </si>
  <si>
    <t>陈奕贞</t>
  </si>
  <si>
    <t>1937</t>
  </si>
  <si>
    <t>["b52"]</t>
  </si>
  <si>
    <t>b52</t>
  </si>
  <si>
    <t>["b51"]</t>
  </si>
  <si>
    <t>b511</t>
  </si>
  <si>
    <t>李伯伟</t>
  </si>
  <si>
    <t>["b512"]</t>
  </si>
  <si>
    <t>b512</t>
  </si>
  <si>
    <t>李运秀</t>
  </si>
  <si>
    <t>["b511"]</t>
  </si>
  <si>
    <t>b5111</t>
  </si>
  <si>
    <t>李琼</t>
  </si>
  <si>
    <t>b5112</t>
  </si>
  <si>
    <t>李桂芳</t>
  </si>
  <si>
    <t>b5113</t>
  </si>
  <si>
    <t>李鑫</t>
  </si>
  <si>
    <t>b521</t>
  </si>
  <si>
    <t>李伯永</t>
  </si>
  <si>
    <t>27</t>
  </si>
  <si>
    <t>["b522"]</t>
  </si>
  <si>
    <t>b522</t>
  </si>
  <si>
    <t>谢兰钦</t>
  </si>
  <si>
    <t>["b521"]</t>
  </si>
  <si>
    <t>b5211</t>
  </si>
  <si>
    <t>李城</t>
  </si>
  <si>
    <t>b5212</t>
  </si>
  <si>
    <t>李益强</t>
  </si>
  <si>
    <t>20</t>
  </si>
  <si>
    <t>b531</t>
  </si>
  <si>
    <t>李丽彬</t>
  </si>
  <si>
    <t>["b532"]</t>
  </si>
  <si>
    <t>b532</t>
  </si>
  <si>
    <t>王爱彬</t>
  </si>
  <si>
    <t>["b531"]</t>
  </si>
  <si>
    <t>b5311</t>
  </si>
  <si>
    <t>王云海</t>
  </si>
  <si>
    <t>b541</t>
  </si>
  <si>
    <t>李丽华</t>
  </si>
  <si>
    <t>["b542"]</t>
  </si>
  <si>
    <t>b542</t>
  </si>
  <si>
    <t>刘细俤</t>
  </si>
  <si>
    <t>["b541"]</t>
  </si>
  <si>
    <t>b5411</t>
  </si>
  <si>
    <t>刘必心</t>
  </si>
  <si>
    <t>b61</t>
  </si>
  <si>
    <t>陈超</t>
  </si>
  <si>
    <t>["b62"]</t>
  </si>
  <si>
    <t>b62</t>
  </si>
  <si>
    <t>郭瑞金</t>
  </si>
  <si>
    <t>["b61"]</t>
  </si>
  <si>
    <t>b611</t>
  </si>
  <si>
    <t>陈坚</t>
  </si>
  <si>
    <t>133-0590-0656</t>
  </si>
  <si>
    <t>["b612"]</t>
  </si>
  <si>
    <t>b612</t>
  </si>
  <si>
    <t>贾东巍</t>
  </si>
  <si>
    <t>13</t>
  </si>
  <si>
    <t>137-0507-7172</t>
  </si>
  <si>
    <t>["b611"]</t>
  </si>
  <si>
    <t>b6111</t>
  </si>
  <si>
    <t>陈嘉骁</t>
  </si>
  <si>
    <t>b621</t>
  </si>
  <si>
    <t>陈炜</t>
  </si>
  <si>
    <t>1973</t>
  </si>
  <si>
    <t>135-0935-6032</t>
  </si>
  <si>
    <t>b71</t>
  </si>
  <si>
    <t>陈永</t>
  </si>
  <si>
    <t>30</t>
  </si>
  <si>
    <t>138-0875-5892</t>
  </si>
  <si>
    <t>b72</t>
  </si>
  <si>
    <t>黄永芬</t>
  </si>
  <si>
    <t>1944</t>
  </si>
  <si>
    <t>25</t>
  </si>
  <si>
    <t>b711</t>
  </si>
  <si>
    <t>陈旻瑜</t>
  </si>
  <si>
    <t>136-3222-1811</t>
  </si>
  <si>
    <t>b712</t>
  </si>
  <si>
    <t>郭吉安</t>
  </si>
  <si>
    <t>1972</t>
  </si>
  <si>
    <t>b7111</t>
  </si>
  <si>
    <t>郭奕霏</t>
  </si>
  <si>
    <t>b721</t>
  </si>
  <si>
    <t>陈旻波</t>
  </si>
  <si>
    <t>1980</t>
  </si>
  <si>
    <t>135-2916-4523</t>
  </si>
  <si>
    <t>b722</t>
  </si>
  <si>
    <t>周原馨</t>
  </si>
  <si>
    <t>1986</t>
  </si>
  <si>
    <t>b7211</t>
  </si>
  <si>
    <t>陈俞宏</t>
  </si>
  <si>
    <t>2014</t>
  </si>
  <si>
    <t>b7212</t>
  </si>
  <si>
    <t>陈俞含</t>
  </si>
  <si>
    <t>2017</t>
  </si>
  <si>
    <t>a1001</t>
  </si>
  <si>
    <t>a1001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</si>
</sst>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"/>
  </numFmts>
  <fonts count="6">
    <font>
      <sz val="11"/>
      <color theme="1"/>
      <name val="等线"/>
      <family val="2"/>
      <charset val="134"/>
      <scheme val="minor"/>
    </font>
    <font>
      <sz val="11"/>
      <color rgb="FFCCCCCC"/>
      <name val="Consolas"/>
      <family val="3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0"/>
      <color theme="1"/>
      <name val="Arial Unicode MS"/>
      <family val="2"/>
      <charset val="134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2" borderId="1" xfId="0" applyFill="1" applyBorder="1" applyAlignment="1">
      <alignment horizontal="center" vertical="center"/>
    </xf>
    <xf numFmtId="58" fontId="0" fillId="0" borderId="0" xfId="0" applyNumberFormat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4" fillId="0" borderId="1" xfId="0" applyFont="1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quotePrefix="1" applyNumberFormat="1" applyBorder="1">
      <alignment vertical="center"/>
    </xf>
    <xf numFmtId="0" fontId="0" fillId="0" borderId="1" xfId="0" quotePrefix="1" applyBorder="1">
      <alignment vertical="center"/>
    </xf>
    <xf numFmtId="31" fontId="0" fillId="0" borderId="1" xfId="0" applyNumberFormat="1" applyBorder="1">
      <alignment vertical="center"/>
    </xf>
    <xf numFmtId="0" fontId="5" fillId="0" borderId="0" xfId="0" applyFont="1">
      <alignment vertical="center"/>
    </xf>
    <xf numFmtId="176" fontId="0" fillId="0" borderId="1" xfId="0" quotePrefix="1" applyNumberFormat="1" applyBorder="1" applyAlignment="1">
      <alignment horizontal="left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7E1B6-1572-4FC3-ADE6-C5F744D330C2}">
  <dimension ref="A1:AQ76"/>
  <sheetViews>
    <sheetView tabSelected="1" workbookViewId="0">
      <selection activeCell="I13" sqref="I13"/>
    </sheetView>
  </sheetViews>
  <sheetFormatPr defaultRowHeight="14.25"/>
  <cols>
    <col min="1" max="3" width="9" customWidth="1"/>
    <col min="4" max="4" width="11.75" customWidth="1"/>
    <col min="5" max="8" width="9" customWidth="1"/>
    <col min="9" max="9" width="11.125" customWidth="1"/>
    <col min="10" max="26" width="9" customWidth="1"/>
    <col min="27" max="27" width="32.875" customWidth="1"/>
    <col min="28" max="28" width="17.125" customWidth="1"/>
    <col min="225" max="225" width="7.25" customWidth="1"/>
    <col min="226" max="226" width="5.25" customWidth="1"/>
    <col min="227" max="227" width="6.25" customWidth="1"/>
    <col min="228" max="228" width="13" bestFit="1" customWidth="1"/>
    <col min="230" max="242" width="0" hidden="1" customWidth="1"/>
    <col min="481" max="481" width="7.25" customWidth="1"/>
    <col min="482" max="482" width="5.25" customWidth="1"/>
    <col min="483" max="483" width="6.25" customWidth="1"/>
    <col min="484" max="484" width="13" bestFit="1" customWidth="1"/>
    <col min="486" max="498" width="0" hidden="1" customWidth="1"/>
    <col min="737" max="737" width="7.25" customWidth="1"/>
    <col min="738" max="738" width="5.25" customWidth="1"/>
    <col min="739" max="739" width="6.25" customWidth="1"/>
    <col min="740" max="740" width="13" bestFit="1" customWidth="1"/>
    <col min="742" max="754" width="0" hidden="1" customWidth="1"/>
    <col min="993" max="993" width="7.25" customWidth="1"/>
    <col min="994" max="994" width="5.25" customWidth="1"/>
    <col min="995" max="995" width="6.25" customWidth="1"/>
    <col min="996" max="996" width="13" bestFit="1" customWidth="1"/>
    <col min="998" max="1010" width="0" hidden="1" customWidth="1"/>
    <col min="1249" max="1249" width="7.25" customWidth="1"/>
    <col min="1250" max="1250" width="5.25" customWidth="1"/>
    <col min="1251" max="1251" width="6.25" customWidth="1"/>
    <col min="1252" max="1252" width="13" bestFit="1" customWidth="1"/>
    <col min="1254" max="1266" width="0" hidden="1" customWidth="1"/>
    <col min="1505" max="1505" width="7.25" customWidth="1"/>
    <col min="1506" max="1506" width="5.25" customWidth="1"/>
    <col min="1507" max="1507" width="6.25" customWidth="1"/>
    <col min="1508" max="1508" width="13" bestFit="1" customWidth="1"/>
    <col min="1510" max="1522" width="0" hidden="1" customWidth="1"/>
    <col min="1761" max="1761" width="7.25" customWidth="1"/>
    <col min="1762" max="1762" width="5.25" customWidth="1"/>
    <col min="1763" max="1763" width="6.25" customWidth="1"/>
    <col min="1764" max="1764" width="13" bestFit="1" customWidth="1"/>
    <col min="1766" max="1778" width="0" hidden="1" customWidth="1"/>
    <col min="2017" max="2017" width="7.25" customWidth="1"/>
    <col min="2018" max="2018" width="5.25" customWidth="1"/>
    <col min="2019" max="2019" width="6.25" customWidth="1"/>
    <col min="2020" max="2020" width="13" bestFit="1" customWidth="1"/>
    <col min="2022" max="2034" width="0" hidden="1" customWidth="1"/>
    <col min="2273" max="2273" width="7.25" customWidth="1"/>
    <col min="2274" max="2274" width="5.25" customWidth="1"/>
    <col min="2275" max="2275" width="6.25" customWidth="1"/>
    <col min="2276" max="2276" width="13" bestFit="1" customWidth="1"/>
    <col min="2278" max="2290" width="0" hidden="1" customWidth="1"/>
    <col min="2529" max="2529" width="7.25" customWidth="1"/>
    <col min="2530" max="2530" width="5.25" customWidth="1"/>
    <col min="2531" max="2531" width="6.25" customWidth="1"/>
    <col min="2532" max="2532" width="13" bestFit="1" customWidth="1"/>
    <col min="2534" max="2546" width="0" hidden="1" customWidth="1"/>
    <col min="2785" max="2785" width="7.25" customWidth="1"/>
    <col min="2786" max="2786" width="5.25" customWidth="1"/>
    <col min="2787" max="2787" width="6.25" customWidth="1"/>
    <col min="2788" max="2788" width="13" bestFit="1" customWidth="1"/>
    <col min="2790" max="2802" width="0" hidden="1" customWidth="1"/>
    <col min="3041" max="3041" width="7.25" customWidth="1"/>
    <col min="3042" max="3042" width="5.25" customWidth="1"/>
    <col min="3043" max="3043" width="6.25" customWidth="1"/>
    <col min="3044" max="3044" width="13" bestFit="1" customWidth="1"/>
    <col min="3046" max="3058" width="0" hidden="1" customWidth="1"/>
    <col min="3297" max="3297" width="7.25" customWidth="1"/>
    <col min="3298" max="3298" width="5.25" customWidth="1"/>
    <col min="3299" max="3299" width="6.25" customWidth="1"/>
    <col min="3300" max="3300" width="13" bestFit="1" customWidth="1"/>
    <col min="3302" max="3314" width="0" hidden="1" customWidth="1"/>
    <col min="3553" max="3553" width="7.25" customWidth="1"/>
    <col min="3554" max="3554" width="5.25" customWidth="1"/>
    <col min="3555" max="3555" width="6.25" customWidth="1"/>
    <col min="3556" max="3556" width="13" bestFit="1" customWidth="1"/>
    <col min="3558" max="3570" width="0" hidden="1" customWidth="1"/>
    <col min="3809" max="3809" width="7.25" customWidth="1"/>
    <col min="3810" max="3810" width="5.25" customWidth="1"/>
    <col min="3811" max="3811" width="6.25" customWidth="1"/>
    <col min="3812" max="3812" width="13" bestFit="1" customWidth="1"/>
    <col min="3814" max="3826" width="0" hidden="1" customWidth="1"/>
    <col min="4065" max="4065" width="7.25" customWidth="1"/>
    <col min="4066" max="4066" width="5.25" customWidth="1"/>
    <col min="4067" max="4067" width="6.25" customWidth="1"/>
    <col min="4068" max="4068" width="13" bestFit="1" customWidth="1"/>
    <col min="4070" max="4082" width="0" hidden="1" customWidth="1"/>
    <col min="4321" max="4321" width="7.25" customWidth="1"/>
    <col min="4322" max="4322" width="5.25" customWidth="1"/>
    <col min="4323" max="4323" width="6.25" customWidth="1"/>
    <col min="4324" max="4324" width="13" bestFit="1" customWidth="1"/>
    <col min="4326" max="4338" width="0" hidden="1" customWidth="1"/>
    <col min="4577" max="4577" width="7.25" customWidth="1"/>
    <col min="4578" max="4578" width="5.25" customWidth="1"/>
    <col min="4579" max="4579" width="6.25" customWidth="1"/>
    <col min="4580" max="4580" width="13" bestFit="1" customWidth="1"/>
    <col min="4582" max="4594" width="0" hidden="1" customWidth="1"/>
    <col min="4833" max="4833" width="7.25" customWidth="1"/>
    <col min="4834" max="4834" width="5.25" customWidth="1"/>
    <col min="4835" max="4835" width="6.25" customWidth="1"/>
    <col min="4836" max="4836" width="13" bestFit="1" customWidth="1"/>
    <col min="4838" max="4850" width="0" hidden="1" customWidth="1"/>
    <col min="5089" max="5089" width="7.25" customWidth="1"/>
    <col min="5090" max="5090" width="5.25" customWidth="1"/>
    <col min="5091" max="5091" width="6.25" customWidth="1"/>
    <col min="5092" max="5092" width="13" bestFit="1" customWidth="1"/>
    <col min="5094" max="5106" width="0" hidden="1" customWidth="1"/>
    <col min="5345" max="5345" width="7.25" customWidth="1"/>
    <col min="5346" max="5346" width="5.25" customWidth="1"/>
    <col min="5347" max="5347" width="6.25" customWidth="1"/>
    <col min="5348" max="5348" width="13" bestFit="1" customWidth="1"/>
    <col min="5350" max="5362" width="0" hidden="1" customWidth="1"/>
    <col min="5601" max="5601" width="7.25" customWidth="1"/>
    <col min="5602" max="5602" width="5.25" customWidth="1"/>
    <col min="5603" max="5603" width="6.25" customWidth="1"/>
    <col min="5604" max="5604" width="13" bestFit="1" customWidth="1"/>
    <col min="5606" max="5618" width="0" hidden="1" customWidth="1"/>
    <col min="5857" max="5857" width="7.25" customWidth="1"/>
    <col min="5858" max="5858" width="5.25" customWidth="1"/>
    <col min="5859" max="5859" width="6.25" customWidth="1"/>
    <col min="5860" max="5860" width="13" bestFit="1" customWidth="1"/>
    <col min="5862" max="5874" width="0" hidden="1" customWidth="1"/>
    <col min="6113" max="6113" width="7.25" customWidth="1"/>
    <col min="6114" max="6114" width="5.25" customWidth="1"/>
    <col min="6115" max="6115" width="6.25" customWidth="1"/>
    <col min="6116" max="6116" width="13" bestFit="1" customWidth="1"/>
    <col min="6118" max="6130" width="0" hidden="1" customWidth="1"/>
    <col min="6369" max="6369" width="7.25" customWidth="1"/>
    <col min="6370" max="6370" width="5.25" customWidth="1"/>
    <col min="6371" max="6371" width="6.25" customWidth="1"/>
    <col min="6372" max="6372" width="13" bestFit="1" customWidth="1"/>
    <col min="6374" max="6386" width="0" hidden="1" customWidth="1"/>
    <col min="6625" max="6625" width="7.25" customWidth="1"/>
    <col min="6626" max="6626" width="5.25" customWidth="1"/>
    <col min="6627" max="6627" width="6.25" customWidth="1"/>
    <col min="6628" max="6628" width="13" bestFit="1" customWidth="1"/>
    <col min="6630" max="6642" width="0" hidden="1" customWidth="1"/>
    <col min="6881" max="6881" width="7.25" customWidth="1"/>
    <col min="6882" max="6882" width="5.25" customWidth="1"/>
    <col min="6883" max="6883" width="6.25" customWidth="1"/>
    <col min="6884" max="6884" width="13" bestFit="1" customWidth="1"/>
    <col min="6886" max="6898" width="0" hidden="1" customWidth="1"/>
    <col min="7137" max="7137" width="7.25" customWidth="1"/>
    <col min="7138" max="7138" width="5.25" customWidth="1"/>
    <col min="7139" max="7139" width="6.25" customWidth="1"/>
    <col min="7140" max="7140" width="13" bestFit="1" customWidth="1"/>
    <col min="7142" max="7154" width="0" hidden="1" customWidth="1"/>
    <col min="7393" max="7393" width="7.25" customWidth="1"/>
    <col min="7394" max="7394" width="5.25" customWidth="1"/>
    <col min="7395" max="7395" width="6.25" customWidth="1"/>
    <col min="7396" max="7396" width="13" bestFit="1" customWidth="1"/>
    <col min="7398" max="7410" width="0" hidden="1" customWidth="1"/>
    <col min="7649" max="7649" width="7.25" customWidth="1"/>
    <col min="7650" max="7650" width="5.25" customWidth="1"/>
    <col min="7651" max="7651" width="6.25" customWidth="1"/>
    <col min="7652" max="7652" width="13" bestFit="1" customWidth="1"/>
    <col min="7654" max="7666" width="0" hidden="1" customWidth="1"/>
    <col min="7905" max="7905" width="7.25" customWidth="1"/>
    <col min="7906" max="7906" width="5.25" customWidth="1"/>
    <col min="7907" max="7907" width="6.25" customWidth="1"/>
    <col min="7908" max="7908" width="13" bestFit="1" customWidth="1"/>
    <col min="7910" max="7922" width="0" hidden="1" customWidth="1"/>
    <col min="8161" max="8161" width="7.25" customWidth="1"/>
    <col min="8162" max="8162" width="5.25" customWidth="1"/>
    <col min="8163" max="8163" width="6.25" customWidth="1"/>
    <col min="8164" max="8164" width="13" bestFit="1" customWidth="1"/>
    <col min="8166" max="8178" width="0" hidden="1" customWidth="1"/>
    <col min="8417" max="8417" width="7.25" customWidth="1"/>
    <col min="8418" max="8418" width="5.25" customWidth="1"/>
    <col min="8419" max="8419" width="6.25" customWidth="1"/>
    <col min="8420" max="8420" width="13" bestFit="1" customWidth="1"/>
    <col min="8422" max="8434" width="0" hidden="1" customWidth="1"/>
    <col min="8673" max="8673" width="7.25" customWidth="1"/>
    <col min="8674" max="8674" width="5.25" customWidth="1"/>
    <col min="8675" max="8675" width="6.25" customWidth="1"/>
    <col min="8676" max="8676" width="13" bestFit="1" customWidth="1"/>
    <col min="8678" max="8690" width="0" hidden="1" customWidth="1"/>
    <col min="8929" max="8929" width="7.25" customWidth="1"/>
    <col min="8930" max="8930" width="5.25" customWidth="1"/>
    <col min="8931" max="8931" width="6.25" customWidth="1"/>
    <col min="8932" max="8932" width="13" bestFit="1" customWidth="1"/>
    <col min="8934" max="8946" width="0" hidden="1" customWidth="1"/>
    <col min="9185" max="9185" width="7.25" customWidth="1"/>
    <col min="9186" max="9186" width="5.25" customWidth="1"/>
    <col min="9187" max="9187" width="6.25" customWidth="1"/>
    <col min="9188" max="9188" width="13" bestFit="1" customWidth="1"/>
    <col min="9190" max="9202" width="0" hidden="1" customWidth="1"/>
    <col min="9441" max="9441" width="7.25" customWidth="1"/>
    <col min="9442" max="9442" width="5.25" customWidth="1"/>
    <col min="9443" max="9443" width="6.25" customWidth="1"/>
    <col min="9444" max="9444" width="13" bestFit="1" customWidth="1"/>
    <col min="9446" max="9458" width="0" hidden="1" customWidth="1"/>
    <col min="9697" max="9697" width="7.25" customWidth="1"/>
    <col min="9698" max="9698" width="5.25" customWidth="1"/>
    <col min="9699" max="9699" width="6.25" customWidth="1"/>
    <col min="9700" max="9700" width="13" bestFit="1" customWidth="1"/>
    <col min="9702" max="9714" width="0" hidden="1" customWidth="1"/>
    <col min="9953" max="9953" width="7.25" customWidth="1"/>
    <col min="9954" max="9954" width="5.25" customWidth="1"/>
    <col min="9955" max="9955" width="6.25" customWidth="1"/>
    <col min="9956" max="9956" width="13" bestFit="1" customWidth="1"/>
    <col min="9958" max="9970" width="0" hidden="1" customWidth="1"/>
    <col min="10209" max="10209" width="7.25" customWidth="1"/>
    <col min="10210" max="10210" width="5.25" customWidth="1"/>
    <col min="10211" max="10211" width="6.25" customWidth="1"/>
    <col min="10212" max="10212" width="13" bestFit="1" customWidth="1"/>
    <col min="10214" max="10226" width="0" hidden="1" customWidth="1"/>
    <col min="10465" max="10465" width="7.25" customWidth="1"/>
    <col min="10466" max="10466" width="5.25" customWidth="1"/>
    <col min="10467" max="10467" width="6.25" customWidth="1"/>
    <col min="10468" max="10468" width="13" bestFit="1" customWidth="1"/>
    <col min="10470" max="10482" width="0" hidden="1" customWidth="1"/>
    <col min="10721" max="10721" width="7.25" customWidth="1"/>
    <col min="10722" max="10722" width="5.25" customWidth="1"/>
    <col min="10723" max="10723" width="6.25" customWidth="1"/>
    <col min="10724" max="10724" width="13" bestFit="1" customWidth="1"/>
    <col min="10726" max="10738" width="0" hidden="1" customWidth="1"/>
    <col min="10977" max="10977" width="7.25" customWidth="1"/>
    <col min="10978" max="10978" width="5.25" customWidth="1"/>
    <col min="10979" max="10979" width="6.25" customWidth="1"/>
    <col min="10980" max="10980" width="13" bestFit="1" customWidth="1"/>
    <col min="10982" max="10994" width="0" hidden="1" customWidth="1"/>
    <col min="11233" max="11233" width="7.25" customWidth="1"/>
    <col min="11234" max="11234" width="5.25" customWidth="1"/>
    <col min="11235" max="11235" width="6.25" customWidth="1"/>
    <col min="11236" max="11236" width="13" bestFit="1" customWidth="1"/>
    <col min="11238" max="11250" width="0" hidden="1" customWidth="1"/>
    <col min="11489" max="11489" width="7.25" customWidth="1"/>
    <col min="11490" max="11490" width="5.25" customWidth="1"/>
    <col min="11491" max="11491" width="6.25" customWidth="1"/>
    <col min="11492" max="11492" width="13" bestFit="1" customWidth="1"/>
    <col min="11494" max="11506" width="0" hidden="1" customWidth="1"/>
    <col min="11745" max="11745" width="7.25" customWidth="1"/>
    <col min="11746" max="11746" width="5.25" customWidth="1"/>
    <col min="11747" max="11747" width="6.25" customWidth="1"/>
    <col min="11748" max="11748" width="13" bestFit="1" customWidth="1"/>
    <col min="11750" max="11762" width="0" hidden="1" customWidth="1"/>
    <col min="12001" max="12001" width="7.25" customWidth="1"/>
    <col min="12002" max="12002" width="5.25" customWidth="1"/>
    <col min="12003" max="12003" width="6.25" customWidth="1"/>
    <col min="12004" max="12004" width="13" bestFit="1" customWidth="1"/>
    <col min="12006" max="12018" width="0" hidden="1" customWidth="1"/>
    <col min="12257" max="12257" width="7.25" customWidth="1"/>
    <col min="12258" max="12258" width="5.25" customWidth="1"/>
    <col min="12259" max="12259" width="6.25" customWidth="1"/>
    <col min="12260" max="12260" width="13" bestFit="1" customWidth="1"/>
    <col min="12262" max="12274" width="0" hidden="1" customWidth="1"/>
    <col min="12513" max="12513" width="7.25" customWidth="1"/>
    <col min="12514" max="12514" width="5.25" customWidth="1"/>
    <col min="12515" max="12515" width="6.25" customWidth="1"/>
    <col min="12516" max="12516" width="13" bestFit="1" customWidth="1"/>
    <col min="12518" max="12530" width="0" hidden="1" customWidth="1"/>
    <col min="12769" max="12769" width="7.25" customWidth="1"/>
    <col min="12770" max="12770" width="5.25" customWidth="1"/>
    <col min="12771" max="12771" width="6.25" customWidth="1"/>
    <col min="12772" max="12772" width="13" bestFit="1" customWidth="1"/>
    <col min="12774" max="12786" width="0" hidden="1" customWidth="1"/>
    <col min="13025" max="13025" width="7.25" customWidth="1"/>
    <col min="13026" max="13026" width="5.25" customWidth="1"/>
    <col min="13027" max="13027" width="6.25" customWidth="1"/>
    <col min="13028" max="13028" width="13" bestFit="1" customWidth="1"/>
    <col min="13030" max="13042" width="0" hidden="1" customWidth="1"/>
    <col min="13281" max="13281" width="7.25" customWidth="1"/>
    <col min="13282" max="13282" width="5.25" customWidth="1"/>
    <col min="13283" max="13283" width="6.25" customWidth="1"/>
    <col min="13284" max="13284" width="13" bestFit="1" customWidth="1"/>
    <col min="13286" max="13298" width="0" hidden="1" customWidth="1"/>
    <col min="13537" max="13537" width="7.25" customWidth="1"/>
    <col min="13538" max="13538" width="5.25" customWidth="1"/>
    <col min="13539" max="13539" width="6.25" customWidth="1"/>
    <col min="13540" max="13540" width="13" bestFit="1" customWidth="1"/>
    <col min="13542" max="13554" width="0" hidden="1" customWidth="1"/>
    <col min="13793" max="13793" width="7.25" customWidth="1"/>
    <col min="13794" max="13794" width="5.25" customWidth="1"/>
    <col min="13795" max="13795" width="6.25" customWidth="1"/>
    <col min="13796" max="13796" width="13" bestFit="1" customWidth="1"/>
    <col min="13798" max="13810" width="0" hidden="1" customWidth="1"/>
    <col min="14049" max="14049" width="7.25" customWidth="1"/>
    <col min="14050" max="14050" width="5.25" customWidth="1"/>
    <col min="14051" max="14051" width="6.25" customWidth="1"/>
    <col min="14052" max="14052" width="13" bestFit="1" customWidth="1"/>
    <col min="14054" max="14066" width="0" hidden="1" customWidth="1"/>
    <col min="14305" max="14305" width="7.25" customWidth="1"/>
    <col min="14306" max="14306" width="5.25" customWidth="1"/>
    <col min="14307" max="14307" width="6.25" customWidth="1"/>
    <col min="14308" max="14308" width="13" bestFit="1" customWidth="1"/>
    <col min="14310" max="14322" width="0" hidden="1" customWidth="1"/>
    <col min="14561" max="14561" width="7.25" customWidth="1"/>
    <col min="14562" max="14562" width="5.25" customWidth="1"/>
    <col min="14563" max="14563" width="6.25" customWidth="1"/>
    <col min="14564" max="14564" width="13" bestFit="1" customWidth="1"/>
    <col min="14566" max="14578" width="0" hidden="1" customWidth="1"/>
    <col min="14817" max="14817" width="7.25" customWidth="1"/>
    <col min="14818" max="14818" width="5.25" customWidth="1"/>
    <col min="14819" max="14819" width="6.25" customWidth="1"/>
    <col min="14820" max="14820" width="13" bestFit="1" customWidth="1"/>
    <col min="14822" max="14834" width="0" hidden="1" customWidth="1"/>
    <col min="15073" max="15073" width="7.25" customWidth="1"/>
    <col min="15074" max="15074" width="5.25" customWidth="1"/>
    <col min="15075" max="15075" width="6.25" customWidth="1"/>
    <col min="15076" max="15076" width="13" bestFit="1" customWidth="1"/>
    <col min="15078" max="15090" width="0" hidden="1" customWidth="1"/>
    <col min="15329" max="15329" width="7.25" customWidth="1"/>
    <col min="15330" max="15330" width="5.25" customWidth="1"/>
    <col min="15331" max="15331" width="6.25" customWidth="1"/>
    <col min="15332" max="15332" width="13" bestFit="1" customWidth="1"/>
    <col min="15334" max="15346" width="0" hidden="1" customWidth="1"/>
    <col min="15585" max="15585" width="7.25" customWidth="1"/>
    <col min="15586" max="15586" width="5.25" customWidth="1"/>
    <col min="15587" max="15587" width="6.25" customWidth="1"/>
    <col min="15588" max="15588" width="13" bestFit="1" customWidth="1"/>
    <col min="15590" max="15602" width="0" hidden="1" customWidth="1"/>
    <col min="15841" max="15841" width="7.25" customWidth="1"/>
    <col min="15842" max="15842" width="5.25" customWidth="1"/>
    <col min="15843" max="15843" width="6.25" customWidth="1"/>
    <col min="15844" max="15844" width="13" bestFit="1" customWidth="1"/>
    <col min="15846" max="15858" width="0" hidden="1" customWidth="1"/>
    <col min="16097" max="16097" width="7.25" customWidth="1"/>
    <col min="16098" max="16098" width="5.25" customWidth="1"/>
    <col min="16099" max="16099" width="6.25" customWidth="1"/>
    <col min="16100" max="16100" width="13" bestFit="1" customWidth="1"/>
    <col min="16102" max="16114" width="0" hidden="1" customWidth="1"/>
  </cols>
  <sheetData>
    <row r="1" spans="1:31" ht="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49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429</v>
      </c>
      <c r="B2" t="s">
        <v>430</v>
      </c>
      <c r="C2" t="s">
        <v>32</v>
      </c>
      <c r="D2" s="2"/>
      <c r="E2" s="15"/>
      <c r="F2" s="15"/>
      <c r="G2" s="15"/>
      <c r="I2" s="2">
        <v>18350</v>
      </c>
      <c r="J2">
        <v>1951</v>
      </c>
      <c r="K2">
        <v>3</v>
      </c>
      <c r="L2">
        <v>28</v>
      </c>
      <c r="M2" t="s">
        <v>150</v>
      </c>
      <c r="N2">
        <v>1</v>
      </c>
      <c r="O2" s="17" t="s">
        <v>431</v>
      </c>
      <c r="R2" t="s">
        <v>686</v>
      </c>
      <c r="U2" t="s">
        <v>151</v>
      </c>
      <c r="Z2" t="s">
        <v>432</v>
      </c>
      <c r="AA2" t="s">
        <v>433</v>
      </c>
      <c r="AB2" t="s">
        <v>44</v>
      </c>
      <c r="AC2" t="s">
        <v>426</v>
      </c>
    </row>
    <row r="3" spans="1:31">
      <c r="A3" t="s">
        <v>434</v>
      </c>
      <c r="B3" t="s">
        <v>435</v>
      </c>
      <c r="C3" t="s">
        <v>148</v>
      </c>
      <c r="D3" t="s">
        <v>149</v>
      </c>
      <c r="E3" s="15">
        <v>1871</v>
      </c>
      <c r="F3" s="15">
        <v>7</v>
      </c>
      <c r="G3" s="15">
        <v>12</v>
      </c>
      <c r="H3" t="s">
        <v>150</v>
      </c>
      <c r="I3" s="2">
        <v>18814</v>
      </c>
      <c r="J3">
        <v>1951</v>
      </c>
      <c r="K3">
        <v>7</v>
      </c>
      <c r="L3">
        <v>5</v>
      </c>
      <c r="M3" t="s">
        <v>150</v>
      </c>
      <c r="N3">
        <v>1</v>
      </c>
      <c r="O3" s="17" t="s">
        <v>431</v>
      </c>
      <c r="R3" t="s">
        <v>686</v>
      </c>
      <c r="U3" t="s">
        <v>355</v>
      </c>
      <c r="Z3" t="s">
        <v>436</v>
      </c>
      <c r="AA3" t="s">
        <v>433</v>
      </c>
    </row>
    <row r="4" spans="1:31">
      <c r="A4" t="s">
        <v>152</v>
      </c>
      <c r="B4" s="6" t="s">
        <v>437</v>
      </c>
      <c r="C4" t="s">
        <v>32</v>
      </c>
      <c r="D4" t="s">
        <v>354</v>
      </c>
      <c r="E4" s="15">
        <v>1898</v>
      </c>
      <c r="F4" s="15">
        <v>3</v>
      </c>
      <c r="G4" s="15">
        <v>5</v>
      </c>
      <c r="H4" t="s">
        <v>150</v>
      </c>
      <c r="I4" s="16">
        <v>27378</v>
      </c>
      <c r="J4" s="15">
        <v>1974</v>
      </c>
      <c r="K4" s="15">
        <v>12</v>
      </c>
      <c r="L4" s="15">
        <v>15</v>
      </c>
      <c r="M4" t="s">
        <v>150</v>
      </c>
      <c r="N4" s="15">
        <v>1</v>
      </c>
      <c r="O4" s="17" t="s">
        <v>431</v>
      </c>
      <c r="R4" t="s">
        <v>685</v>
      </c>
      <c r="U4" t="s">
        <v>151</v>
      </c>
      <c r="Z4" t="s">
        <v>358</v>
      </c>
      <c r="AA4" t="s">
        <v>356</v>
      </c>
      <c r="AB4" t="s">
        <v>357</v>
      </c>
      <c r="AC4" t="s">
        <v>427</v>
      </c>
    </row>
    <row r="5" spans="1:31">
      <c r="A5" t="s">
        <v>158</v>
      </c>
      <c r="B5" s="6" t="s">
        <v>438</v>
      </c>
      <c r="C5" t="s">
        <v>148</v>
      </c>
      <c r="E5" s="15">
        <v>1898</v>
      </c>
      <c r="F5" s="15"/>
      <c r="G5" s="15"/>
      <c r="I5" s="2">
        <v>21880</v>
      </c>
      <c r="J5" s="15">
        <v>1959</v>
      </c>
      <c r="K5" s="15">
        <v>11</v>
      </c>
      <c r="L5" s="15">
        <v>26</v>
      </c>
      <c r="M5" t="s">
        <v>150</v>
      </c>
      <c r="N5" s="15">
        <v>1</v>
      </c>
      <c r="O5" s="17" t="s">
        <v>431</v>
      </c>
      <c r="R5" t="s">
        <v>685</v>
      </c>
      <c r="U5" s="6" t="s">
        <v>162</v>
      </c>
      <c r="Z5" t="s">
        <v>433</v>
      </c>
      <c r="AA5" t="s">
        <v>356</v>
      </c>
    </row>
    <row r="6" spans="1:31">
      <c r="A6" t="s">
        <v>439</v>
      </c>
      <c r="B6" s="6" t="s">
        <v>440</v>
      </c>
      <c r="C6" t="s">
        <v>32</v>
      </c>
      <c r="D6" s="2">
        <v>10106</v>
      </c>
      <c r="E6" s="15" t="s">
        <v>441</v>
      </c>
      <c r="F6" s="15" t="s">
        <v>442</v>
      </c>
      <c r="G6" s="15" t="s">
        <v>443</v>
      </c>
      <c r="H6" t="s">
        <v>33</v>
      </c>
      <c r="I6" s="2" t="s">
        <v>444</v>
      </c>
      <c r="J6" s="15" t="s">
        <v>445</v>
      </c>
      <c r="K6" s="15" t="s">
        <v>446</v>
      </c>
      <c r="L6" s="15" t="s">
        <v>447</v>
      </c>
      <c r="M6" t="s">
        <v>33</v>
      </c>
      <c r="N6">
        <v>1</v>
      </c>
      <c r="O6" s="17" t="s">
        <v>431</v>
      </c>
      <c r="R6" t="s">
        <v>685</v>
      </c>
      <c r="Z6" t="s">
        <v>448</v>
      </c>
      <c r="AA6" t="s">
        <v>396</v>
      </c>
      <c r="AB6" t="s">
        <v>357</v>
      </c>
    </row>
    <row r="7" spans="1:31">
      <c r="A7" t="s">
        <v>449</v>
      </c>
      <c r="B7" s="6" t="s">
        <v>450</v>
      </c>
      <c r="C7" t="s">
        <v>148</v>
      </c>
      <c r="D7" s="2">
        <v>13939</v>
      </c>
      <c r="E7" s="15" t="s">
        <v>451</v>
      </c>
      <c r="F7" s="15" t="s">
        <v>452</v>
      </c>
      <c r="G7" s="15" t="s">
        <v>453</v>
      </c>
      <c r="H7" t="s">
        <v>33</v>
      </c>
      <c r="I7" s="2" t="s">
        <v>431</v>
      </c>
      <c r="J7" s="15" t="s">
        <v>431</v>
      </c>
      <c r="K7" s="15" t="s">
        <v>431</v>
      </c>
      <c r="L7" s="15" t="s">
        <v>431</v>
      </c>
      <c r="M7" t="s">
        <v>33</v>
      </c>
      <c r="N7">
        <v>0</v>
      </c>
      <c r="O7" s="17" t="s">
        <v>171</v>
      </c>
      <c r="R7" t="s">
        <v>685</v>
      </c>
      <c r="Z7" t="s">
        <v>454</v>
      </c>
    </row>
    <row r="8" spans="1:31">
      <c r="A8" t="s">
        <v>455</v>
      </c>
      <c r="B8" s="6" t="s">
        <v>456</v>
      </c>
      <c r="C8" t="s">
        <v>148</v>
      </c>
      <c r="D8" s="2">
        <v>22769</v>
      </c>
      <c r="E8" s="15" t="s">
        <v>457</v>
      </c>
      <c r="F8" s="15" t="s">
        <v>458</v>
      </c>
      <c r="G8" s="15" t="s">
        <v>459</v>
      </c>
      <c r="H8" t="s">
        <v>33</v>
      </c>
      <c r="I8" s="2" t="s">
        <v>431</v>
      </c>
      <c r="J8" s="15" t="s">
        <v>431</v>
      </c>
      <c r="K8" s="15" t="s">
        <v>431</v>
      </c>
      <c r="L8" s="15" t="s">
        <v>431</v>
      </c>
      <c r="M8" t="s">
        <v>33</v>
      </c>
      <c r="N8">
        <v>0</v>
      </c>
      <c r="O8" s="17" t="s">
        <v>175</v>
      </c>
      <c r="R8" t="s">
        <v>685</v>
      </c>
      <c r="Z8" t="s">
        <v>460</v>
      </c>
      <c r="AA8" t="s">
        <v>397</v>
      </c>
      <c r="AB8" t="s">
        <v>359</v>
      </c>
    </row>
    <row r="9" spans="1:31">
      <c r="A9" t="s">
        <v>461</v>
      </c>
      <c r="B9" s="6" t="s">
        <v>462</v>
      </c>
      <c r="C9" t="s">
        <v>32</v>
      </c>
      <c r="D9" s="2">
        <v>21934</v>
      </c>
      <c r="E9" s="15" t="s">
        <v>463</v>
      </c>
      <c r="F9" s="15" t="s">
        <v>443</v>
      </c>
      <c r="G9" s="15" t="s">
        <v>464</v>
      </c>
      <c r="H9" t="s">
        <v>33</v>
      </c>
      <c r="I9" s="2" t="s">
        <v>431</v>
      </c>
      <c r="J9" s="15" t="s">
        <v>431</v>
      </c>
      <c r="K9" s="15" t="s">
        <v>431</v>
      </c>
      <c r="L9" s="15" t="s">
        <v>431</v>
      </c>
      <c r="M9" t="s">
        <v>33</v>
      </c>
      <c r="N9">
        <v>0</v>
      </c>
      <c r="O9" s="17" t="s">
        <v>465</v>
      </c>
      <c r="R9" t="s">
        <v>685</v>
      </c>
      <c r="Z9" t="s">
        <v>466</v>
      </c>
    </row>
    <row r="10" spans="1:31">
      <c r="A10" t="s">
        <v>467</v>
      </c>
      <c r="B10" s="6" t="s">
        <v>468</v>
      </c>
      <c r="C10" t="s">
        <v>32</v>
      </c>
      <c r="D10" s="2">
        <v>33975</v>
      </c>
      <c r="E10" s="15" t="s">
        <v>469</v>
      </c>
      <c r="F10" s="15" t="s">
        <v>443</v>
      </c>
      <c r="G10" s="15" t="s">
        <v>446</v>
      </c>
      <c r="H10" t="s">
        <v>33</v>
      </c>
      <c r="I10" s="2" t="s">
        <v>431</v>
      </c>
      <c r="J10" s="15" t="s">
        <v>431</v>
      </c>
      <c r="K10" s="15" t="s">
        <v>431</v>
      </c>
      <c r="L10" s="15" t="s">
        <v>431</v>
      </c>
      <c r="M10" t="s">
        <v>33</v>
      </c>
      <c r="N10">
        <v>0</v>
      </c>
      <c r="O10" s="17" t="s">
        <v>470</v>
      </c>
      <c r="R10" t="s">
        <v>685</v>
      </c>
      <c r="AB10" t="s">
        <v>372</v>
      </c>
    </row>
    <row r="11" spans="1:31">
      <c r="A11" t="s">
        <v>471</v>
      </c>
      <c r="B11" s="6" t="s">
        <v>472</v>
      </c>
      <c r="C11" s="13" t="s">
        <v>186</v>
      </c>
      <c r="D11" s="2">
        <v>23339</v>
      </c>
      <c r="E11" s="15" t="s">
        <v>473</v>
      </c>
      <c r="F11" s="15" t="s">
        <v>474</v>
      </c>
      <c r="G11" s="15" t="s">
        <v>475</v>
      </c>
      <c r="H11" t="s">
        <v>33</v>
      </c>
      <c r="I11" s="2" t="s">
        <v>431</v>
      </c>
      <c r="J11" s="15" t="s">
        <v>431</v>
      </c>
      <c r="K11" s="15" t="s">
        <v>431</v>
      </c>
      <c r="L11" s="15" t="s">
        <v>431</v>
      </c>
      <c r="M11" t="s">
        <v>33</v>
      </c>
      <c r="N11">
        <v>0</v>
      </c>
      <c r="O11" s="17" t="s">
        <v>431</v>
      </c>
      <c r="R11" t="s">
        <v>685</v>
      </c>
      <c r="Z11" t="s">
        <v>476</v>
      </c>
      <c r="AA11" t="s">
        <v>398</v>
      </c>
      <c r="AB11" t="s">
        <v>359</v>
      </c>
    </row>
    <row r="12" spans="1:31">
      <c r="A12" t="s">
        <v>477</v>
      </c>
      <c r="B12" s="6" t="s">
        <v>478</v>
      </c>
      <c r="C12" s="13" t="s">
        <v>189</v>
      </c>
      <c r="D12" s="2">
        <v>24403</v>
      </c>
      <c r="E12" s="15" t="s">
        <v>479</v>
      </c>
      <c r="F12" s="15" t="s">
        <v>480</v>
      </c>
      <c r="G12" s="15" t="s">
        <v>447</v>
      </c>
      <c r="H12" t="s">
        <v>33</v>
      </c>
      <c r="I12" s="2" t="s">
        <v>431</v>
      </c>
      <c r="J12" s="15" t="s">
        <v>431</v>
      </c>
      <c r="K12" s="15" t="s">
        <v>431</v>
      </c>
      <c r="L12" s="15" t="s">
        <v>431</v>
      </c>
      <c r="M12" t="s">
        <v>33</v>
      </c>
      <c r="N12">
        <v>0</v>
      </c>
      <c r="O12" s="17" t="s">
        <v>431</v>
      </c>
      <c r="R12" t="s">
        <v>685</v>
      </c>
      <c r="Z12" t="s">
        <v>481</v>
      </c>
    </row>
    <row r="13" spans="1:31">
      <c r="A13" t="s">
        <v>482</v>
      </c>
      <c r="B13" s="6" t="s">
        <v>483</v>
      </c>
      <c r="C13" s="13" t="s">
        <v>186</v>
      </c>
      <c r="D13" s="2">
        <v>35512</v>
      </c>
      <c r="E13" s="15" t="s">
        <v>484</v>
      </c>
      <c r="F13" s="15" t="s">
        <v>459</v>
      </c>
      <c r="G13" s="15" t="s">
        <v>447</v>
      </c>
      <c r="H13" t="s">
        <v>33</v>
      </c>
      <c r="I13" s="2" t="s">
        <v>431</v>
      </c>
      <c r="J13" s="15" t="s">
        <v>431</v>
      </c>
      <c r="K13" s="15" t="s">
        <v>431</v>
      </c>
      <c r="L13" s="15" t="s">
        <v>431</v>
      </c>
      <c r="M13" t="s">
        <v>33</v>
      </c>
      <c r="N13">
        <v>0</v>
      </c>
      <c r="O13" s="17" t="s">
        <v>431</v>
      </c>
      <c r="R13" t="s">
        <v>685</v>
      </c>
      <c r="AB13" t="s">
        <v>373</v>
      </c>
    </row>
    <row r="14" spans="1:31">
      <c r="A14" t="s">
        <v>485</v>
      </c>
      <c r="B14" s="6" t="s">
        <v>486</v>
      </c>
      <c r="C14" s="13" t="s">
        <v>186</v>
      </c>
      <c r="D14" s="2">
        <v>25194</v>
      </c>
      <c r="E14" s="15" t="s">
        <v>487</v>
      </c>
      <c r="F14" s="15" t="s">
        <v>488</v>
      </c>
      <c r="G14" s="15" t="s">
        <v>489</v>
      </c>
      <c r="H14" t="s">
        <v>33</v>
      </c>
      <c r="I14" s="2" t="s">
        <v>431</v>
      </c>
      <c r="J14" s="15" t="s">
        <v>431</v>
      </c>
      <c r="K14" s="15" t="s">
        <v>431</v>
      </c>
      <c r="L14" s="15" t="s">
        <v>431</v>
      </c>
      <c r="M14" t="s">
        <v>33</v>
      </c>
      <c r="N14">
        <v>0</v>
      </c>
      <c r="O14" s="17" t="s">
        <v>490</v>
      </c>
      <c r="R14" t="s">
        <v>685</v>
      </c>
      <c r="Z14" t="s">
        <v>491</v>
      </c>
      <c r="AA14" t="s">
        <v>399</v>
      </c>
      <c r="AB14" t="s">
        <v>359</v>
      </c>
    </row>
    <row r="15" spans="1:31">
      <c r="A15" t="s">
        <v>492</v>
      </c>
      <c r="B15" s="6" t="s">
        <v>493</v>
      </c>
      <c r="C15" s="13" t="s">
        <v>189</v>
      </c>
      <c r="D15" s="2">
        <v>27717</v>
      </c>
      <c r="E15" s="15" t="s">
        <v>494</v>
      </c>
      <c r="F15" s="15" t="s">
        <v>474</v>
      </c>
      <c r="G15" s="15" t="s">
        <v>464</v>
      </c>
      <c r="H15" t="s">
        <v>33</v>
      </c>
      <c r="I15" s="2" t="s">
        <v>431</v>
      </c>
      <c r="J15" s="15" t="s">
        <v>431</v>
      </c>
      <c r="K15" s="15" t="s">
        <v>431</v>
      </c>
      <c r="L15" s="15" t="s">
        <v>431</v>
      </c>
      <c r="M15" t="s">
        <v>33</v>
      </c>
      <c r="N15">
        <v>0</v>
      </c>
      <c r="O15" s="17" t="s">
        <v>495</v>
      </c>
      <c r="R15" t="s">
        <v>685</v>
      </c>
      <c r="Z15" t="s">
        <v>375</v>
      </c>
    </row>
    <row r="16" spans="1:31">
      <c r="A16" t="s">
        <v>496</v>
      </c>
      <c r="B16" s="6" t="s">
        <v>497</v>
      </c>
      <c r="C16" s="13" t="s">
        <v>186</v>
      </c>
      <c r="D16" s="2">
        <v>36413</v>
      </c>
      <c r="E16" s="15" t="s">
        <v>498</v>
      </c>
      <c r="F16" s="15" t="s">
        <v>442</v>
      </c>
      <c r="G16" s="15" t="s">
        <v>480</v>
      </c>
      <c r="H16" t="s">
        <v>33</v>
      </c>
      <c r="I16" s="2" t="s">
        <v>431</v>
      </c>
      <c r="J16" s="15" t="s">
        <v>431</v>
      </c>
      <c r="K16" s="15" t="s">
        <v>431</v>
      </c>
      <c r="L16" s="15" t="s">
        <v>431</v>
      </c>
      <c r="M16" t="s">
        <v>33</v>
      </c>
      <c r="N16">
        <v>0</v>
      </c>
      <c r="O16" s="17" t="s">
        <v>204</v>
      </c>
      <c r="R16" t="s">
        <v>685</v>
      </c>
      <c r="AB16" t="s">
        <v>376</v>
      </c>
    </row>
    <row r="17" spans="1:29">
      <c r="A17" t="s">
        <v>499</v>
      </c>
      <c r="B17" s="6" t="s">
        <v>500</v>
      </c>
      <c r="C17" s="13" t="s">
        <v>189</v>
      </c>
      <c r="D17" s="2">
        <v>37446</v>
      </c>
      <c r="E17" s="15" t="s">
        <v>501</v>
      </c>
      <c r="F17" s="15" t="s">
        <v>502</v>
      </c>
      <c r="G17" s="15" t="s">
        <v>442</v>
      </c>
      <c r="H17" t="s">
        <v>33</v>
      </c>
      <c r="I17" s="2" t="s">
        <v>431</v>
      </c>
      <c r="J17" s="15" t="s">
        <v>431</v>
      </c>
      <c r="K17" s="15" t="s">
        <v>431</v>
      </c>
      <c r="L17" s="15" t="s">
        <v>431</v>
      </c>
      <c r="M17" t="s">
        <v>33</v>
      </c>
      <c r="N17">
        <v>0</v>
      </c>
      <c r="O17" s="17" t="s">
        <v>209</v>
      </c>
      <c r="R17" t="s">
        <v>685</v>
      </c>
      <c r="AB17" t="s">
        <v>376</v>
      </c>
    </row>
    <row r="18" spans="1:29">
      <c r="A18" t="s">
        <v>503</v>
      </c>
      <c r="B18" s="6" t="s">
        <v>504</v>
      </c>
      <c r="C18" s="13" t="s">
        <v>189</v>
      </c>
      <c r="D18" s="2">
        <v>41052</v>
      </c>
      <c r="E18" s="15" t="s">
        <v>505</v>
      </c>
      <c r="F18" s="15" t="s">
        <v>458</v>
      </c>
      <c r="G18" s="15" t="s">
        <v>447</v>
      </c>
      <c r="H18" t="s">
        <v>33</v>
      </c>
      <c r="I18" s="2" t="s">
        <v>431</v>
      </c>
      <c r="J18" s="15" t="s">
        <v>431</v>
      </c>
      <c r="K18" s="15" t="s">
        <v>431</v>
      </c>
      <c r="L18" s="15" t="s">
        <v>431</v>
      </c>
      <c r="M18" t="s">
        <v>33</v>
      </c>
      <c r="N18">
        <v>0</v>
      </c>
      <c r="O18" s="17" t="s">
        <v>506</v>
      </c>
      <c r="R18" t="s">
        <v>685</v>
      </c>
      <c r="AB18" t="s">
        <v>374</v>
      </c>
    </row>
    <row r="19" spans="1:29">
      <c r="A19" t="s">
        <v>507</v>
      </c>
      <c r="B19" s="6" t="s">
        <v>508</v>
      </c>
      <c r="C19" s="13" t="s">
        <v>351</v>
      </c>
      <c r="D19" s="2">
        <v>10349</v>
      </c>
      <c r="E19" s="15" t="s">
        <v>509</v>
      </c>
      <c r="F19" s="15" t="s">
        <v>458</v>
      </c>
      <c r="G19" s="15" t="s">
        <v>443</v>
      </c>
      <c r="H19" t="s">
        <v>33</v>
      </c>
      <c r="I19" s="2" t="s">
        <v>431</v>
      </c>
      <c r="J19" s="15" t="s">
        <v>431</v>
      </c>
      <c r="K19" s="15" t="s">
        <v>431</v>
      </c>
      <c r="L19" s="15" t="s">
        <v>431</v>
      </c>
      <c r="M19" t="s">
        <v>33</v>
      </c>
      <c r="N19">
        <v>0</v>
      </c>
      <c r="O19" s="17" t="s">
        <v>431</v>
      </c>
      <c r="R19" t="s">
        <v>685</v>
      </c>
      <c r="Z19" t="s">
        <v>510</v>
      </c>
      <c r="AA19" t="s">
        <v>400</v>
      </c>
    </row>
    <row r="20" spans="1:29">
      <c r="A20" t="s">
        <v>511</v>
      </c>
      <c r="B20" s="6" t="s">
        <v>512</v>
      </c>
      <c r="C20" s="13" t="s">
        <v>352</v>
      </c>
      <c r="D20" s="2">
        <v>9406</v>
      </c>
      <c r="E20" s="15" t="s">
        <v>513</v>
      </c>
      <c r="F20" s="15" t="s">
        <v>480</v>
      </c>
      <c r="G20" s="15" t="s">
        <v>443</v>
      </c>
      <c r="H20" t="s">
        <v>33</v>
      </c>
      <c r="I20" s="2" t="s">
        <v>431</v>
      </c>
      <c r="J20" s="15" t="s">
        <v>431</v>
      </c>
      <c r="K20" s="15" t="s">
        <v>431</v>
      </c>
      <c r="L20" s="15" t="s">
        <v>431</v>
      </c>
      <c r="M20" t="s">
        <v>33</v>
      </c>
      <c r="N20">
        <v>0</v>
      </c>
      <c r="O20" s="17" t="s">
        <v>431</v>
      </c>
      <c r="R20" t="s">
        <v>685</v>
      </c>
      <c r="Z20" t="s">
        <v>514</v>
      </c>
    </row>
    <row r="21" spans="1:29">
      <c r="A21" t="s">
        <v>515</v>
      </c>
      <c r="B21" s="6" t="s">
        <v>516</v>
      </c>
      <c r="C21" s="13" t="s">
        <v>351</v>
      </c>
      <c r="D21" s="2">
        <v>22951</v>
      </c>
      <c r="E21" s="15" t="s">
        <v>457</v>
      </c>
      <c r="F21" s="15" t="s">
        <v>474</v>
      </c>
      <c r="G21" s="15" t="s">
        <v>443</v>
      </c>
      <c r="H21" t="s">
        <v>33</v>
      </c>
      <c r="I21" s="2" t="s">
        <v>431</v>
      </c>
      <c r="J21" s="15" t="s">
        <v>431</v>
      </c>
      <c r="K21" s="15" t="s">
        <v>431</v>
      </c>
      <c r="L21" s="15" t="s">
        <v>431</v>
      </c>
      <c r="M21" t="s">
        <v>33</v>
      </c>
      <c r="N21">
        <v>0</v>
      </c>
      <c r="O21" s="17" t="s">
        <v>517</v>
      </c>
      <c r="R21" t="s">
        <v>685</v>
      </c>
      <c r="Z21" t="s">
        <v>377</v>
      </c>
      <c r="AA21" t="s">
        <v>401</v>
      </c>
      <c r="AB21" t="s">
        <v>360</v>
      </c>
    </row>
    <row r="22" spans="1:29">
      <c r="A22" t="s">
        <v>518</v>
      </c>
      <c r="B22" s="6" t="s">
        <v>519</v>
      </c>
      <c r="C22" s="13" t="s">
        <v>352</v>
      </c>
      <c r="D22" s="2">
        <v>22433</v>
      </c>
      <c r="E22" s="15" t="s">
        <v>520</v>
      </c>
      <c r="F22" s="15" t="s">
        <v>446</v>
      </c>
      <c r="G22" s="15" t="s">
        <v>443</v>
      </c>
      <c r="H22" t="s">
        <v>33</v>
      </c>
      <c r="I22" s="2" t="s">
        <v>431</v>
      </c>
      <c r="J22" s="15" t="s">
        <v>431</v>
      </c>
      <c r="K22" s="15" t="s">
        <v>431</v>
      </c>
      <c r="L22" s="15" t="s">
        <v>431</v>
      </c>
      <c r="M22" t="s">
        <v>33</v>
      </c>
      <c r="N22">
        <v>0</v>
      </c>
      <c r="O22" s="17" t="s">
        <v>431</v>
      </c>
      <c r="R22" t="s">
        <v>685</v>
      </c>
      <c r="Z22" t="s">
        <v>378</v>
      </c>
    </row>
    <row r="23" spans="1:29">
      <c r="A23" t="s">
        <v>521</v>
      </c>
      <c r="B23" s="6" t="s">
        <v>522</v>
      </c>
      <c r="C23" s="13" t="s">
        <v>352</v>
      </c>
      <c r="D23" s="2">
        <v>32568</v>
      </c>
      <c r="E23" s="15" t="s">
        <v>523</v>
      </c>
      <c r="F23" s="15" t="s">
        <v>459</v>
      </c>
      <c r="G23" s="15" t="s">
        <v>443</v>
      </c>
      <c r="H23" t="s">
        <v>33</v>
      </c>
      <c r="I23" s="2" t="s">
        <v>431</v>
      </c>
      <c r="J23" s="15" t="s">
        <v>431</v>
      </c>
      <c r="K23" s="15" t="s">
        <v>431</v>
      </c>
      <c r="L23" s="15" t="s">
        <v>431</v>
      </c>
      <c r="M23" t="s">
        <v>33</v>
      </c>
      <c r="N23">
        <v>0</v>
      </c>
      <c r="O23" s="17" t="s">
        <v>431</v>
      </c>
      <c r="R23" t="s">
        <v>685</v>
      </c>
      <c r="AB23" t="s">
        <v>385</v>
      </c>
    </row>
    <row r="24" spans="1:29">
      <c r="A24" t="s">
        <v>524</v>
      </c>
      <c r="B24" s="6" t="s">
        <v>525</v>
      </c>
      <c r="C24" s="13" t="s">
        <v>352</v>
      </c>
      <c r="D24" s="2">
        <v>24929</v>
      </c>
      <c r="E24" s="15" t="s">
        <v>487</v>
      </c>
      <c r="F24" s="15" t="s">
        <v>526</v>
      </c>
      <c r="G24" s="15" t="s">
        <v>443</v>
      </c>
      <c r="H24" t="s">
        <v>33</v>
      </c>
      <c r="I24" s="2" t="s">
        <v>431</v>
      </c>
      <c r="J24" s="15" t="s">
        <v>431</v>
      </c>
      <c r="K24" s="15" t="s">
        <v>431</v>
      </c>
      <c r="L24" s="15" t="s">
        <v>431</v>
      </c>
      <c r="M24" t="s">
        <v>33</v>
      </c>
      <c r="N24">
        <v>0</v>
      </c>
      <c r="O24" s="17" t="s">
        <v>431</v>
      </c>
      <c r="R24" t="s">
        <v>685</v>
      </c>
      <c r="Z24" t="s">
        <v>379</v>
      </c>
      <c r="AA24" t="s">
        <v>402</v>
      </c>
      <c r="AB24" t="s">
        <v>360</v>
      </c>
    </row>
    <row r="25" spans="1:29">
      <c r="A25" t="s">
        <v>527</v>
      </c>
      <c r="B25" s="6" t="s">
        <v>528</v>
      </c>
      <c r="C25" s="13" t="s">
        <v>351</v>
      </c>
      <c r="D25" s="2">
        <v>26207</v>
      </c>
      <c r="E25" s="15" t="s">
        <v>529</v>
      </c>
      <c r="F25" s="15" t="s">
        <v>480</v>
      </c>
      <c r="G25" s="15" t="s">
        <v>443</v>
      </c>
      <c r="H25" t="s">
        <v>33</v>
      </c>
      <c r="I25" s="2" t="s">
        <v>431</v>
      </c>
      <c r="J25" s="15" t="s">
        <v>431</v>
      </c>
      <c r="K25" s="15" t="s">
        <v>431</v>
      </c>
      <c r="L25" s="15" t="s">
        <v>431</v>
      </c>
      <c r="M25" t="s">
        <v>33</v>
      </c>
      <c r="N25">
        <v>0</v>
      </c>
      <c r="O25" s="17" t="s">
        <v>431</v>
      </c>
      <c r="R25" t="s">
        <v>685</v>
      </c>
      <c r="Z25" t="s">
        <v>380</v>
      </c>
    </row>
    <row r="26" spans="1:29">
      <c r="A26" t="s">
        <v>530</v>
      </c>
      <c r="B26" s="6" t="s">
        <v>531</v>
      </c>
      <c r="C26" s="13" t="s">
        <v>351</v>
      </c>
      <c r="D26" s="2">
        <v>36495</v>
      </c>
      <c r="E26" s="15" t="s">
        <v>498</v>
      </c>
      <c r="F26" s="15" t="s">
        <v>488</v>
      </c>
      <c r="G26" s="15" t="s">
        <v>443</v>
      </c>
      <c r="H26" t="s">
        <v>33</v>
      </c>
      <c r="I26" s="2" t="s">
        <v>431</v>
      </c>
      <c r="J26" s="15" t="s">
        <v>431</v>
      </c>
      <c r="K26" s="15" t="s">
        <v>431</v>
      </c>
      <c r="L26" s="15" t="s">
        <v>431</v>
      </c>
      <c r="M26" t="s">
        <v>33</v>
      </c>
      <c r="N26">
        <v>0</v>
      </c>
      <c r="O26" s="17" t="s">
        <v>431</v>
      </c>
      <c r="R26" t="s">
        <v>685</v>
      </c>
      <c r="AB26" t="s">
        <v>386</v>
      </c>
    </row>
    <row r="27" spans="1:29">
      <c r="A27" t="s">
        <v>361</v>
      </c>
      <c r="B27" s="6" t="s">
        <v>406</v>
      </c>
      <c r="C27" s="13" t="s">
        <v>352</v>
      </c>
      <c r="D27" s="2">
        <v>11668</v>
      </c>
      <c r="E27" s="15" t="s">
        <v>532</v>
      </c>
      <c r="F27" s="15" t="s">
        <v>488</v>
      </c>
      <c r="G27" s="15" t="s">
        <v>474</v>
      </c>
      <c r="H27" t="s">
        <v>33</v>
      </c>
      <c r="I27" s="2" t="s">
        <v>431</v>
      </c>
      <c r="J27" s="15" t="s">
        <v>431</v>
      </c>
      <c r="K27" s="15" t="s">
        <v>431</v>
      </c>
      <c r="L27" s="15" t="s">
        <v>431</v>
      </c>
      <c r="M27" t="s">
        <v>33</v>
      </c>
      <c r="N27">
        <v>0</v>
      </c>
      <c r="O27" s="17" t="s">
        <v>431</v>
      </c>
      <c r="R27" t="s">
        <v>685</v>
      </c>
      <c r="Z27" t="s">
        <v>533</v>
      </c>
      <c r="AA27" t="s">
        <v>403</v>
      </c>
      <c r="AB27" t="s">
        <v>357</v>
      </c>
    </row>
    <row r="28" spans="1:29">
      <c r="A28" t="s">
        <v>362</v>
      </c>
      <c r="B28" s="6" t="s">
        <v>534</v>
      </c>
      <c r="C28" s="13" t="s">
        <v>351</v>
      </c>
      <c r="D28" s="2">
        <v>17747</v>
      </c>
      <c r="E28" s="15" t="s">
        <v>535</v>
      </c>
      <c r="F28" s="15" t="s">
        <v>536</v>
      </c>
      <c r="G28" s="15" t="s">
        <v>452</v>
      </c>
      <c r="H28" t="s">
        <v>33</v>
      </c>
      <c r="I28" s="2" t="s">
        <v>431</v>
      </c>
      <c r="J28" s="15" t="s">
        <v>431</v>
      </c>
      <c r="K28" s="15" t="s">
        <v>431</v>
      </c>
      <c r="L28" s="15" t="s">
        <v>431</v>
      </c>
      <c r="M28" t="s">
        <v>33</v>
      </c>
      <c r="N28">
        <v>0</v>
      </c>
      <c r="O28" s="17" t="s">
        <v>431</v>
      </c>
      <c r="R28" t="s">
        <v>685</v>
      </c>
      <c r="Z28" t="s">
        <v>537</v>
      </c>
    </row>
    <row r="29" spans="1:29">
      <c r="A29" t="s">
        <v>538</v>
      </c>
      <c r="B29" s="6" t="s">
        <v>539</v>
      </c>
      <c r="C29" s="13" t="s">
        <v>351</v>
      </c>
      <c r="D29" s="2">
        <v>25709</v>
      </c>
      <c r="E29" s="15" t="s">
        <v>540</v>
      </c>
      <c r="F29" s="15" t="s">
        <v>458</v>
      </c>
      <c r="G29" s="15" t="s">
        <v>541</v>
      </c>
      <c r="H29" t="s">
        <v>33</v>
      </c>
      <c r="I29" s="2">
        <v>44720</v>
      </c>
      <c r="J29" s="15" t="s">
        <v>542</v>
      </c>
      <c r="K29" s="15" t="s">
        <v>446</v>
      </c>
      <c r="L29" s="15" t="s">
        <v>536</v>
      </c>
      <c r="M29" t="s">
        <v>33</v>
      </c>
      <c r="N29">
        <v>1</v>
      </c>
      <c r="O29" s="17" t="s">
        <v>431</v>
      </c>
      <c r="R29" t="s">
        <v>685</v>
      </c>
      <c r="Z29" t="s">
        <v>381</v>
      </c>
      <c r="AA29" t="s">
        <v>404</v>
      </c>
      <c r="AB29" t="s">
        <v>363</v>
      </c>
      <c r="AC29" t="s">
        <v>428</v>
      </c>
    </row>
    <row r="30" spans="1:29">
      <c r="A30" t="s">
        <v>543</v>
      </c>
      <c r="B30" s="6" t="s">
        <v>544</v>
      </c>
      <c r="C30" s="13" t="s">
        <v>352</v>
      </c>
      <c r="D30" s="2">
        <v>25552</v>
      </c>
      <c r="E30" s="15" t="s">
        <v>545</v>
      </c>
      <c r="F30" s="15" t="s">
        <v>488</v>
      </c>
      <c r="G30" s="15" t="s">
        <v>546</v>
      </c>
      <c r="H30" t="s">
        <v>33</v>
      </c>
      <c r="I30" s="2" t="s">
        <v>431</v>
      </c>
      <c r="J30" s="15" t="s">
        <v>431</v>
      </c>
      <c r="K30" s="15" t="s">
        <v>431</v>
      </c>
      <c r="L30" s="15" t="s">
        <v>431</v>
      </c>
      <c r="M30" t="s">
        <v>33</v>
      </c>
      <c r="N30">
        <v>0</v>
      </c>
      <c r="O30" s="17" t="s">
        <v>431</v>
      </c>
      <c r="R30" t="s">
        <v>685</v>
      </c>
      <c r="Z30" t="s">
        <v>382</v>
      </c>
    </row>
    <row r="31" spans="1:29">
      <c r="A31" t="s">
        <v>547</v>
      </c>
      <c r="B31" s="6" t="s">
        <v>548</v>
      </c>
      <c r="C31" s="13" t="s">
        <v>352</v>
      </c>
      <c r="D31" s="2">
        <v>32310</v>
      </c>
      <c r="E31" s="15" t="s">
        <v>549</v>
      </c>
      <c r="F31" s="15" t="s">
        <v>446</v>
      </c>
      <c r="G31" s="15" t="s">
        <v>550</v>
      </c>
      <c r="H31" t="s">
        <v>33</v>
      </c>
      <c r="I31" s="2" t="s">
        <v>431</v>
      </c>
      <c r="J31" s="15" t="s">
        <v>431</v>
      </c>
      <c r="K31" s="15" t="s">
        <v>431</v>
      </c>
      <c r="L31" s="15" t="s">
        <v>431</v>
      </c>
      <c r="M31" t="s">
        <v>33</v>
      </c>
      <c r="N31">
        <v>0</v>
      </c>
      <c r="O31" s="17" t="s">
        <v>431</v>
      </c>
      <c r="R31" t="s">
        <v>685</v>
      </c>
      <c r="AB31" t="s">
        <v>387</v>
      </c>
    </row>
    <row r="32" spans="1:29">
      <c r="A32" t="s">
        <v>551</v>
      </c>
      <c r="B32" s="6" t="s">
        <v>552</v>
      </c>
      <c r="C32" s="13" t="s">
        <v>352</v>
      </c>
      <c r="D32" s="2">
        <v>33441</v>
      </c>
      <c r="E32" s="15" t="s">
        <v>553</v>
      </c>
      <c r="F32" s="15" t="s">
        <v>502</v>
      </c>
      <c r="G32" s="15" t="s">
        <v>489</v>
      </c>
      <c r="H32" t="s">
        <v>33</v>
      </c>
      <c r="I32" s="2" t="s">
        <v>431</v>
      </c>
      <c r="J32" s="15" t="s">
        <v>431</v>
      </c>
      <c r="K32" s="15" t="s">
        <v>431</v>
      </c>
      <c r="L32" s="15" t="s">
        <v>431</v>
      </c>
      <c r="M32" t="s">
        <v>33</v>
      </c>
      <c r="N32">
        <v>0</v>
      </c>
      <c r="O32" s="17" t="s">
        <v>431</v>
      </c>
      <c r="R32" t="s">
        <v>685</v>
      </c>
      <c r="AB32" t="s">
        <v>387</v>
      </c>
    </row>
    <row r="33" spans="1:28">
      <c r="A33" t="s">
        <v>554</v>
      </c>
      <c r="B33" s="6" t="s">
        <v>555</v>
      </c>
      <c r="C33" s="13" t="s">
        <v>351</v>
      </c>
      <c r="D33" s="2">
        <v>34259</v>
      </c>
      <c r="E33" s="15" t="s">
        <v>469</v>
      </c>
      <c r="F33" s="15" t="s">
        <v>480</v>
      </c>
      <c r="G33" s="15" t="s">
        <v>556</v>
      </c>
      <c r="H33" t="s">
        <v>33</v>
      </c>
      <c r="I33" s="2" t="s">
        <v>431</v>
      </c>
      <c r="J33" s="15" t="s">
        <v>431</v>
      </c>
      <c r="K33" s="15" t="s">
        <v>431</v>
      </c>
      <c r="L33" s="15" t="s">
        <v>431</v>
      </c>
      <c r="M33" t="s">
        <v>33</v>
      </c>
      <c r="N33">
        <v>0</v>
      </c>
      <c r="O33" s="17" t="s">
        <v>431</v>
      </c>
      <c r="R33" t="s">
        <v>685</v>
      </c>
      <c r="AB33" t="s">
        <v>387</v>
      </c>
    </row>
    <row r="34" spans="1:28">
      <c r="A34" t="s">
        <v>557</v>
      </c>
      <c r="B34" s="6" t="s">
        <v>558</v>
      </c>
      <c r="C34" s="13" t="s">
        <v>351</v>
      </c>
      <c r="D34" s="2">
        <v>28644</v>
      </c>
      <c r="E34" s="15" t="s">
        <v>559</v>
      </c>
      <c r="F34" s="15" t="s">
        <v>446</v>
      </c>
      <c r="G34" s="15" t="s">
        <v>459</v>
      </c>
      <c r="H34" t="s">
        <v>33</v>
      </c>
      <c r="I34" s="2" t="s">
        <v>431</v>
      </c>
      <c r="J34" s="15" t="s">
        <v>431</v>
      </c>
      <c r="K34" s="15" t="s">
        <v>431</v>
      </c>
      <c r="L34" s="15" t="s">
        <v>431</v>
      </c>
      <c r="M34" t="s">
        <v>33</v>
      </c>
      <c r="N34">
        <v>0</v>
      </c>
      <c r="O34" s="17" t="s">
        <v>431</v>
      </c>
      <c r="R34" t="s">
        <v>685</v>
      </c>
      <c r="Z34" t="s">
        <v>383</v>
      </c>
      <c r="AB34" t="s">
        <v>363</v>
      </c>
    </row>
    <row r="35" spans="1:28">
      <c r="A35" t="s">
        <v>560</v>
      </c>
      <c r="B35" s="6">
        <v>0</v>
      </c>
      <c r="C35" s="13" t="s">
        <v>352</v>
      </c>
      <c r="D35" s="2">
        <v>0</v>
      </c>
      <c r="E35" s="15" t="s">
        <v>561</v>
      </c>
      <c r="F35" s="15" t="s">
        <v>443</v>
      </c>
      <c r="G35" s="15" t="s">
        <v>562</v>
      </c>
      <c r="H35" t="s">
        <v>33</v>
      </c>
      <c r="I35" s="2" t="s">
        <v>431</v>
      </c>
      <c r="J35" s="15" t="s">
        <v>431</v>
      </c>
      <c r="K35" s="15" t="s">
        <v>431</v>
      </c>
      <c r="L35" s="15" t="s">
        <v>431</v>
      </c>
      <c r="M35" t="s">
        <v>33</v>
      </c>
      <c r="N35">
        <v>0</v>
      </c>
      <c r="O35" s="17" t="s">
        <v>431</v>
      </c>
      <c r="R35" t="s">
        <v>685</v>
      </c>
      <c r="Z35" t="s">
        <v>384</v>
      </c>
    </row>
    <row r="36" spans="1:28">
      <c r="A36" t="s">
        <v>563</v>
      </c>
      <c r="B36" s="6">
        <v>0</v>
      </c>
      <c r="C36" s="13" t="s">
        <v>352</v>
      </c>
      <c r="D36" s="2">
        <v>0</v>
      </c>
      <c r="E36" s="15" t="s">
        <v>561</v>
      </c>
      <c r="F36" s="15" t="s">
        <v>443</v>
      </c>
      <c r="G36" s="15" t="s">
        <v>562</v>
      </c>
      <c r="H36" t="s">
        <v>33</v>
      </c>
      <c r="I36" s="2" t="s">
        <v>431</v>
      </c>
      <c r="J36" s="15" t="s">
        <v>431</v>
      </c>
      <c r="K36" s="15" t="s">
        <v>431</v>
      </c>
      <c r="L36" s="15" t="s">
        <v>431</v>
      </c>
      <c r="M36" t="s">
        <v>33</v>
      </c>
      <c r="N36">
        <v>0</v>
      </c>
      <c r="O36" s="17" t="s">
        <v>431</v>
      </c>
      <c r="R36" t="s">
        <v>685</v>
      </c>
    </row>
    <row r="37" spans="1:28">
      <c r="A37" t="s">
        <v>364</v>
      </c>
      <c r="B37" s="6" t="s">
        <v>405</v>
      </c>
      <c r="C37" s="13" t="s">
        <v>352</v>
      </c>
      <c r="D37" s="2">
        <v>12857</v>
      </c>
      <c r="E37" s="15" t="s">
        <v>564</v>
      </c>
      <c r="F37" s="15" t="s">
        <v>459</v>
      </c>
      <c r="G37" s="15" t="s">
        <v>565</v>
      </c>
      <c r="H37" t="s">
        <v>33</v>
      </c>
      <c r="I37" s="2" t="s">
        <v>431</v>
      </c>
      <c r="J37" s="15" t="s">
        <v>431</v>
      </c>
      <c r="K37" s="15" t="s">
        <v>431</v>
      </c>
      <c r="L37" s="15" t="s">
        <v>431</v>
      </c>
      <c r="M37" t="s">
        <v>33</v>
      </c>
      <c r="N37">
        <v>0</v>
      </c>
      <c r="O37" s="17" t="s">
        <v>431</v>
      </c>
      <c r="R37" t="s">
        <v>685</v>
      </c>
      <c r="Z37" t="s">
        <v>566</v>
      </c>
      <c r="AA37" t="s">
        <v>407</v>
      </c>
      <c r="AB37" t="s">
        <v>357</v>
      </c>
    </row>
    <row r="38" spans="1:28">
      <c r="A38" t="s">
        <v>365</v>
      </c>
      <c r="B38" s="6" t="s">
        <v>567</v>
      </c>
      <c r="C38" s="13" t="s">
        <v>351</v>
      </c>
      <c r="D38" s="2">
        <v>15569</v>
      </c>
      <c r="E38" s="15" t="s">
        <v>568</v>
      </c>
      <c r="F38" s="15" t="s">
        <v>536</v>
      </c>
      <c r="G38" s="15" t="s">
        <v>550</v>
      </c>
      <c r="H38" t="s">
        <v>33</v>
      </c>
      <c r="I38" s="2" t="s">
        <v>569</v>
      </c>
      <c r="J38" s="15" t="s">
        <v>501</v>
      </c>
      <c r="K38" s="15" t="s">
        <v>452</v>
      </c>
      <c r="L38" s="15" t="s">
        <v>458</v>
      </c>
      <c r="M38" t="s">
        <v>33</v>
      </c>
      <c r="N38">
        <v>1</v>
      </c>
      <c r="O38" s="17" t="s">
        <v>431</v>
      </c>
      <c r="R38" t="s">
        <v>685</v>
      </c>
      <c r="Z38" t="s">
        <v>570</v>
      </c>
    </row>
    <row r="39" spans="1:28">
      <c r="A39" t="s">
        <v>571</v>
      </c>
      <c r="B39" s="6" t="s">
        <v>572</v>
      </c>
      <c r="C39" s="13" t="s">
        <v>351</v>
      </c>
      <c r="D39" s="2">
        <v>24295</v>
      </c>
      <c r="E39" s="15" t="s">
        <v>479</v>
      </c>
      <c r="F39" s="15" t="s">
        <v>502</v>
      </c>
      <c r="G39" s="15" t="s">
        <v>502</v>
      </c>
      <c r="H39" t="s">
        <v>33</v>
      </c>
      <c r="I39" s="2" t="s">
        <v>431</v>
      </c>
      <c r="J39" s="15" t="s">
        <v>431</v>
      </c>
      <c r="K39" s="15" t="s">
        <v>431</v>
      </c>
      <c r="L39" s="15" t="s">
        <v>431</v>
      </c>
      <c r="M39" t="s">
        <v>33</v>
      </c>
      <c r="N39">
        <v>0</v>
      </c>
      <c r="O39" s="17" t="s">
        <v>431</v>
      </c>
      <c r="R39" t="s">
        <v>685</v>
      </c>
      <c r="Z39" t="s">
        <v>573</v>
      </c>
      <c r="AA39" t="s">
        <v>408</v>
      </c>
      <c r="AB39" t="s">
        <v>366</v>
      </c>
    </row>
    <row r="40" spans="1:28">
      <c r="A40" t="s">
        <v>574</v>
      </c>
      <c r="B40" s="6" t="s">
        <v>575</v>
      </c>
      <c r="C40" s="13" t="s">
        <v>352</v>
      </c>
      <c r="D40" s="2">
        <v>23531</v>
      </c>
      <c r="E40" s="15" t="s">
        <v>576</v>
      </c>
      <c r="F40" s="15" t="s">
        <v>446</v>
      </c>
      <c r="G40" s="15" t="s">
        <v>459</v>
      </c>
      <c r="H40" t="s">
        <v>33</v>
      </c>
      <c r="I40" s="2" t="s">
        <v>431</v>
      </c>
      <c r="J40" s="15" t="s">
        <v>431</v>
      </c>
      <c r="K40" s="15" t="s">
        <v>431</v>
      </c>
      <c r="L40" s="15" t="s">
        <v>431</v>
      </c>
      <c r="M40" t="s">
        <v>33</v>
      </c>
      <c r="N40">
        <v>0</v>
      </c>
      <c r="O40" s="17" t="s">
        <v>431</v>
      </c>
      <c r="R40" t="s">
        <v>685</v>
      </c>
      <c r="Z40" t="s">
        <v>577</v>
      </c>
    </row>
    <row r="41" spans="1:28">
      <c r="A41" t="s">
        <v>578</v>
      </c>
      <c r="B41" s="6" t="s">
        <v>579</v>
      </c>
      <c r="C41" s="13" t="s">
        <v>352</v>
      </c>
      <c r="D41" s="2">
        <v>37284</v>
      </c>
      <c r="E41" s="15" t="s">
        <v>501</v>
      </c>
      <c r="F41" s="15" t="s">
        <v>443</v>
      </c>
      <c r="G41" s="15" t="s">
        <v>453</v>
      </c>
      <c r="H41" t="s">
        <v>33</v>
      </c>
      <c r="I41" s="2" t="s">
        <v>431</v>
      </c>
      <c r="J41" s="15" t="s">
        <v>431</v>
      </c>
      <c r="K41" s="15" t="s">
        <v>431</v>
      </c>
      <c r="L41" s="15" t="s">
        <v>431</v>
      </c>
      <c r="M41" t="s">
        <v>33</v>
      </c>
      <c r="N41">
        <v>0</v>
      </c>
      <c r="O41" s="17" t="s">
        <v>431</v>
      </c>
      <c r="R41" t="s">
        <v>685</v>
      </c>
    </row>
    <row r="42" spans="1:28">
      <c r="A42" t="s">
        <v>580</v>
      </c>
      <c r="B42" s="6" t="s">
        <v>581</v>
      </c>
      <c r="C42" s="13" t="s">
        <v>351</v>
      </c>
      <c r="D42" s="2">
        <v>24295</v>
      </c>
      <c r="E42" s="15" t="s">
        <v>479</v>
      </c>
      <c r="F42" s="15" t="s">
        <v>502</v>
      </c>
      <c r="G42" s="15" t="s">
        <v>502</v>
      </c>
      <c r="H42" t="s">
        <v>33</v>
      </c>
      <c r="I42" s="2" t="s">
        <v>431</v>
      </c>
      <c r="J42" s="15" t="s">
        <v>431</v>
      </c>
      <c r="K42" s="15" t="s">
        <v>431</v>
      </c>
      <c r="L42" s="15" t="s">
        <v>431</v>
      </c>
      <c r="M42" t="s">
        <v>33</v>
      </c>
      <c r="N42">
        <v>0</v>
      </c>
      <c r="O42" s="17" t="s">
        <v>431</v>
      </c>
      <c r="R42" t="s">
        <v>685</v>
      </c>
      <c r="Z42" t="s">
        <v>582</v>
      </c>
      <c r="AA42" t="s">
        <v>409</v>
      </c>
      <c r="AB42" t="s">
        <v>366</v>
      </c>
    </row>
    <row r="43" spans="1:28">
      <c r="A43" t="s">
        <v>583</v>
      </c>
      <c r="B43" s="6" t="s">
        <v>584</v>
      </c>
      <c r="C43" s="13" t="s">
        <v>352</v>
      </c>
      <c r="D43" s="2">
        <v>23229</v>
      </c>
      <c r="E43" s="15" t="s">
        <v>473</v>
      </c>
      <c r="F43" s="15" t="s">
        <v>536</v>
      </c>
      <c r="G43" s="15" t="s">
        <v>446</v>
      </c>
      <c r="H43" t="s">
        <v>33</v>
      </c>
      <c r="I43" s="2" t="s">
        <v>431</v>
      </c>
      <c r="J43" s="15" t="s">
        <v>431</v>
      </c>
      <c r="K43" s="15" t="s">
        <v>431</v>
      </c>
      <c r="L43" s="15" t="s">
        <v>431</v>
      </c>
      <c r="M43" t="s">
        <v>33</v>
      </c>
      <c r="N43">
        <v>0</v>
      </c>
      <c r="O43" s="17" t="s">
        <v>431</v>
      </c>
      <c r="R43" t="s">
        <v>685</v>
      </c>
      <c r="Z43" t="s">
        <v>585</v>
      </c>
    </row>
    <row r="44" spans="1:28">
      <c r="A44" t="s">
        <v>586</v>
      </c>
      <c r="B44" s="6" t="s">
        <v>587</v>
      </c>
      <c r="C44" s="13" t="s">
        <v>351</v>
      </c>
      <c r="D44" s="2">
        <v>34608</v>
      </c>
      <c r="E44" s="15" t="s">
        <v>588</v>
      </c>
      <c r="F44" s="15" t="s">
        <v>480</v>
      </c>
      <c r="G44" s="15" t="s">
        <v>443</v>
      </c>
      <c r="H44" t="s">
        <v>33</v>
      </c>
      <c r="I44" s="2" t="s">
        <v>431</v>
      </c>
      <c r="J44" s="15" t="s">
        <v>431</v>
      </c>
      <c r="K44" s="15" t="s">
        <v>431</v>
      </c>
      <c r="L44" s="15" t="s">
        <v>431</v>
      </c>
      <c r="M44" t="s">
        <v>33</v>
      </c>
      <c r="N44">
        <v>0</v>
      </c>
      <c r="O44" s="17" t="s">
        <v>431</v>
      </c>
      <c r="R44" t="s">
        <v>685</v>
      </c>
      <c r="AB44" t="s">
        <v>388</v>
      </c>
    </row>
    <row r="45" spans="1:28">
      <c r="A45" t="s">
        <v>589</v>
      </c>
      <c r="B45" s="6" t="s">
        <v>590</v>
      </c>
      <c r="C45" s="13" t="s">
        <v>351</v>
      </c>
      <c r="D45" s="2">
        <v>13516</v>
      </c>
      <c r="E45" s="15" t="s">
        <v>591</v>
      </c>
      <c r="F45" s="15" t="s">
        <v>443</v>
      </c>
      <c r="G45" s="15" t="s">
        <v>443</v>
      </c>
      <c r="H45" t="s">
        <v>33</v>
      </c>
      <c r="I45" s="2" t="s">
        <v>431</v>
      </c>
      <c r="J45" s="15" t="s">
        <v>431</v>
      </c>
      <c r="K45" s="15" t="s">
        <v>431</v>
      </c>
      <c r="L45" s="15" t="s">
        <v>431</v>
      </c>
      <c r="M45" t="s">
        <v>33</v>
      </c>
      <c r="N45">
        <v>0</v>
      </c>
      <c r="O45" s="17" t="s">
        <v>431</v>
      </c>
      <c r="R45" t="s">
        <v>685</v>
      </c>
      <c r="Z45" t="s">
        <v>592</v>
      </c>
      <c r="AA45" t="s">
        <v>410</v>
      </c>
      <c r="AB45" t="s">
        <v>357</v>
      </c>
    </row>
    <row r="46" spans="1:28">
      <c r="A46" t="s">
        <v>593</v>
      </c>
      <c r="B46" s="6" t="s">
        <v>368</v>
      </c>
      <c r="C46" s="13" t="s">
        <v>352</v>
      </c>
      <c r="D46" s="2">
        <v>0</v>
      </c>
      <c r="E46" s="15" t="s">
        <v>561</v>
      </c>
      <c r="F46" s="15" t="s">
        <v>443</v>
      </c>
      <c r="G46" s="15" t="s">
        <v>562</v>
      </c>
      <c r="H46" t="s">
        <v>33</v>
      </c>
      <c r="I46" s="2" t="s">
        <v>431</v>
      </c>
      <c r="J46" s="15" t="s">
        <v>431</v>
      </c>
      <c r="K46" s="15" t="s">
        <v>431</v>
      </c>
      <c r="L46" s="15" t="s">
        <v>431</v>
      </c>
      <c r="M46" t="s">
        <v>33</v>
      </c>
      <c r="N46">
        <v>0</v>
      </c>
      <c r="O46" s="17" t="s">
        <v>431</v>
      </c>
      <c r="R46" t="s">
        <v>685</v>
      </c>
      <c r="Z46" t="s">
        <v>594</v>
      </c>
    </row>
    <row r="47" spans="1:28">
      <c r="A47" t="s">
        <v>595</v>
      </c>
      <c r="B47" s="6" t="s">
        <v>596</v>
      </c>
      <c r="C47" s="13" t="s">
        <v>352</v>
      </c>
      <c r="D47" s="2">
        <v>0</v>
      </c>
      <c r="E47" s="15" t="s">
        <v>561</v>
      </c>
      <c r="F47" s="15" t="s">
        <v>443</v>
      </c>
      <c r="G47" s="15" t="s">
        <v>562</v>
      </c>
      <c r="H47" t="s">
        <v>33</v>
      </c>
      <c r="I47" s="2" t="s">
        <v>431</v>
      </c>
      <c r="J47" s="15" t="s">
        <v>431</v>
      </c>
      <c r="K47" s="15" t="s">
        <v>431</v>
      </c>
      <c r="L47" s="15" t="s">
        <v>431</v>
      </c>
      <c r="M47" t="s">
        <v>33</v>
      </c>
      <c r="N47">
        <v>0</v>
      </c>
      <c r="O47" s="17" t="s">
        <v>431</v>
      </c>
      <c r="R47" t="s">
        <v>685</v>
      </c>
      <c r="Z47" t="s">
        <v>597</v>
      </c>
      <c r="AA47" t="s">
        <v>411</v>
      </c>
      <c r="AB47" t="s">
        <v>367</v>
      </c>
    </row>
    <row r="48" spans="1:28">
      <c r="A48" t="s">
        <v>598</v>
      </c>
      <c r="B48" s="6" t="s">
        <v>599</v>
      </c>
      <c r="C48" s="13" t="s">
        <v>351</v>
      </c>
      <c r="D48" s="2">
        <v>0</v>
      </c>
      <c r="E48" s="15" t="s">
        <v>561</v>
      </c>
      <c r="F48" s="15" t="s">
        <v>443</v>
      </c>
      <c r="G48" s="15" t="s">
        <v>562</v>
      </c>
      <c r="H48" t="s">
        <v>33</v>
      </c>
      <c r="I48" s="2" t="s">
        <v>431</v>
      </c>
      <c r="J48" s="15" t="s">
        <v>431</v>
      </c>
      <c r="K48" s="15" t="s">
        <v>431</v>
      </c>
      <c r="L48" s="15" t="s">
        <v>431</v>
      </c>
      <c r="M48" t="s">
        <v>33</v>
      </c>
      <c r="N48">
        <v>0</v>
      </c>
      <c r="O48" s="17" t="s">
        <v>431</v>
      </c>
      <c r="R48" t="s">
        <v>685</v>
      </c>
      <c r="Z48" t="s">
        <v>600</v>
      </c>
    </row>
    <row r="49" spans="1:28">
      <c r="A49" t="s">
        <v>601</v>
      </c>
      <c r="B49" s="6" t="s">
        <v>602</v>
      </c>
      <c r="C49" s="13" t="s">
        <v>351</v>
      </c>
      <c r="D49" s="2">
        <v>0</v>
      </c>
      <c r="E49" s="15" t="s">
        <v>561</v>
      </c>
      <c r="F49" s="15" t="s">
        <v>443</v>
      </c>
      <c r="G49" s="15" t="s">
        <v>562</v>
      </c>
      <c r="H49" t="s">
        <v>33</v>
      </c>
      <c r="I49" s="2" t="s">
        <v>431</v>
      </c>
      <c r="J49" s="15" t="s">
        <v>431</v>
      </c>
      <c r="K49" s="15" t="s">
        <v>431</v>
      </c>
      <c r="L49" s="15" t="s">
        <v>431</v>
      </c>
      <c r="M49" t="s">
        <v>33</v>
      </c>
      <c r="N49">
        <v>0</v>
      </c>
      <c r="O49" s="17" t="s">
        <v>431</v>
      </c>
      <c r="R49" t="s">
        <v>685</v>
      </c>
      <c r="AB49" t="s">
        <v>389</v>
      </c>
    </row>
    <row r="50" spans="1:28">
      <c r="A50" t="s">
        <v>603</v>
      </c>
      <c r="B50" s="6" t="s">
        <v>604</v>
      </c>
      <c r="C50" s="13" t="s">
        <v>351</v>
      </c>
      <c r="D50" s="2">
        <v>0</v>
      </c>
      <c r="E50" s="15" t="s">
        <v>561</v>
      </c>
      <c r="F50" s="15" t="s">
        <v>443</v>
      </c>
      <c r="G50" s="15" t="s">
        <v>562</v>
      </c>
      <c r="H50" t="s">
        <v>33</v>
      </c>
      <c r="I50" s="2" t="s">
        <v>431</v>
      </c>
      <c r="J50" s="15" t="s">
        <v>431</v>
      </c>
      <c r="K50" s="15" t="s">
        <v>431</v>
      </c>
      <c r="L50" s="15" t="s">
        <v>431</v>
      </c>
      <c r="M50" t="s">
        <v>33</v>
      </c>
      <c r="N50">
        <v>0</v>
      </c>
      <c r="O50" s="17" t="s">
        <v>431</v>
      </c>
      <c r="R50" t="s">
        <v>685</v>
      </c>
      <c r="AB50" t="s">
        <v>389</v>
      </c>
    </row>
    <row r="51" spans="1:28">
      <c r="A51" t="s">
        <v>605</v>
      </c>
      <c r="B51" s="6" t="s">
        <v>606</v>
      </c>
      <c r="C51" s="13" t="s">
        <v>352</v>
      </c>
      <c r="D51" s="2">
        <v>0</v>
      </c>
      <c r="E51" s="15" t="s">
        <v>561</v>
      </c>
      <c r="F51" s="15" t="s">
        <v>443</v>
      </c>
      <c r="G51" s="15" t="s">
        <v>562</v>
      </c>
      <c r="H51" t="s">
        <v>33</v>
      </c>
      <c r="I51" s="2" t="s">
        <v>431</v>
      </c>
      <c r="J51" s="15" t="s">
        <v>431</v>
      </c>
      <c r="K51" s="15" t="s">
        <v>431</v>
      </c>
      <c r="L51" s="15" t="s">
        <v>431</v>
      </c>
      <c r="M51" t="s">
        <v>33</v>
      </c>
      <c r="N51">
        <v>0</v>
      </c>
      <c r="O51" s="17" t="s">
        <v>431</v>
      </c>
      <c r="R51" t="s">
        <v>685</v>
      </c>
      <c r="AB51" t="s">
        <v>389</v>
      </c>
    </row>
    <row r="52" spans="1:28">
      <c r="A52" t="s">
        <v>607</v>
      </c>
      <c r="B52" s="6" t="s">
        <v>608</v>
      </c>
      <c r="C52" s="13" t="s">
        <v>352</v>
      </c>
      <c r="D52" s="2">
        <v>23585</v>
      </c>
      <c r="E52" s="15" t="s">
        <v>576</v>
      </c>
      <c r="F52" s="15" t="s">
        <v>502</v>
      </c>
      <c r="G52" s="15" t="s">
        <v>609</v>
      </c>
      <c r="H52" t="s">
        <v>33</v>
      </c>
      <c r="I52" s="2" t="s">
        <v>431</v>
      </c>
      <c r="J52" s="15" t="s">
        <v>431</v>
      </c>
      <c r="K52" s="15" t="s">
        <v>431</v>
      </c>
      <c r="L52" s="15" t="s">
        <v>431</v>
      </c>
      <c r="M52" t="s">
        <v>33</v>
      </c>
      <c r="N52">
        <v>0</v>
      </c>
      <c r="O52" s="17" t="s">
        <v>431</v>
      </c>
      <c r="R52" t="s">
        <v>685</v>
      </c>
      <c r="Z52" t="s">
        <v>610</v>
      </c>
      <c r="AA52" t="s">
        <v>412</v>
      </c>
      <c r="AB52" t="s">
        <v>367</v>
      </c>
    </row>
    <row r="53" spans="1:28">
      <c r="A53" t="s">
        <v>611</v>
      </c>
      <c r="B53" s="6" t="s">
        <v>612</v>
      </c>
      <c r="C53" s="13" t="s">
        <v>351</v>
      </c>
      <c r="D53" s="2">
        <v>25787</v>
      </c>
      <c r="E53" s="15" t="s">
        <v>540</v>
      </c>
      <c r="F53" s="15" t="s">
        <v>536</v>
      </c>
      <c r="G53" s="15" t="s">
        <v>502</v>
      </c>
      <c r="H53" t="s">
        <v>33</v>
      </c>
      <c r="I53" s="2" t="s">
        <v>431</v>
      </c>
      <c r="J53" s="15" t="s">
        <v>431</v>
      </c>
      <c r="K53" s="15" t="s">
        <v>431</v>
      </c>
      <c r="L53" s="15" t="s">
        <v>431</v>
      </c>
      <c r="M53" t="s">
        <v>33</v>
      </c>
      <c r="N53">
        <v>0</v>
      </c>
      <c r="O53" s="17" t="s">
        <v>431</v>
      </c>
      <c r="R53" t="s">
        <v>685</v>
      </c>
      <c r="Z53" t="s">
        <v>613</v>
      </c>
    </row>
    <row r="54" spans="1:28">
      <c r="A54" t="s">
        <v>614</v>
      </c>
      <c r="B54" s="6" t="s">
        <v>615</v>
      </c>
      <c r="C54" s="13" t="s">
        <v>352</v>
      </c>
      <c r="D54" s="2">
        <v>33489</v>
      </c>
      <c r="E54" s="15" t="s">
        <v>553</v>
      </c>
      <c r="F54" s="15" t="s">
        <v>442</v>
      </c>
      <c r="G54" s="15" t="s">
        <v>536</v>
      </c>
      <c r="H54" t="s">
        <v>33</v>
      </c>
      <c r="I54" s="2" t="s">
        <v>431</v>
      </c>
      <c r="J54" s="15" t="s">
        <v>431</v>
      </c>
      <c r="K54" s="15" t="s">
        <v>431</v>
      </c>
      <c r="L54" s="15" t="s">
        <v>431</v>
      </c>
      <c r="M54" t="s">
        <v>33</v>
      </c>
      <c r="N54">
        <v>0</v>
      </c>
      <c r="O54" s="17" t="s">
        <v>431</v>
      </c>
      <c r="R54" t="s">
        <v>685</v>
      </c>
      <c r="AB54" t="s">
        <v>390</v>
      </c>
    </row>
    <row r="55" spans="1:28">
      <c r="A55" t="s">
        <v>616</v>
      </c>
      <c r="B55" s="6" t="s">
        <v>617</v>
      </c>
      <c r="C55" s="13" t="s">
        <v>352</v>
      </c>
      <c r="D55" s="2">
        <v>34535</v>
      </c>
      <c r="E55" s="15" t="s">
        <v>588</v>
      </c>
      <c r="F55" s="15" t="s">
        <v>502</v>
      </c>
      <c r="G55" s="15" t="s">
        <v>618</v>
      </c>
      <c r="H55" t="s">
        <v>33</v>
      </c>
      <c r="I55" s="2" t="s">
        <v>431</v>
      </c>
      <c r="J55" s="15" t="s">
        <v>431</v>
      </c>
      <c r="K55" s="15" t="s">
        <v>431</v>
      </c>
      <c r="L55" s="15" t="s">
        <v>431</v>
      </c>
      <c r="M55" t="s">
        <v>33</v>
      </c>
      <c r="N55">
        <v>0</v>
      </c>
      <c r="O55" s="17" t="s">
        <v>431</v>
      </c>
      <c r="R55" t="s">
        <v>685</v>
      </c>
      <c r="AB55" t="s">
        <v>390</v>
      </c>
    </row>
    <row r="56" spans="1:28">
      <c r="A56" t="s">
        <v>619</v>
      </c>
      <c r="B56" s="6" t="s">
        <v>620</v>
      </c>
      <c r="C56" s="13" t="s">
        <v>351</v>
      </c>
      <c r="D56" s="2">
        <v>0</v>
      </c>
      <c r="E56" s="15" t="s">
        <v>561</v>
      </c>
      <c r="F56" s="15" t="s">
        <v>443</v>
      </c>
      <c r="G56" s="15" t="s">
        <v>562</v>
      </c>
      <c r="H56" t="s">
        <v>33</v>
      </c>
      <c r="I56" s="2" t="s">
        <v>431</v>
      </c>
      <c r="J56" s="15" t="s">
        <v>431</v>
      </c>
      <c r="K56" s="15" t="s">
        <v>431</v>
      </c>
      <c r="L56" s="15" t="s">
        <v>431</v>
      </c>
      <c r="M56" t="s">
        <v>33</v>
      </c>
      <c r="N56">
        <v>0</v>
      </c>
      <c r="O56" s="17" t="s">
        <v>431</v>
      </c>
      <c r="R56" t="s">
        <v>685</v>
      </c>
      <c r="Z56" t="s">
        <v>621</v>
      </c>
      <c r="AA56" t="s">
        <v>413</v>
      </c>
      <c r="AB56" t="s">
        <v>367</v>
      </c>
    </row>
    <row r="57" spans="1:28">
      <c r="A57" t="s">
        <v>622</v>
      </c>
      <c r="B57" s="6" t="s">
        <v>623</v>
      </c>
      <c r="C57" s="13" t="s">
        <v>352</v>
      </c>
      <c r="D57" s="2">
        <v>0</v>
      </c>
      <c r="E57" s="15" t="s">
        <v>561</v>
      </c>
      <c r="F57" s="15" t="s">
        <v>443</v>
      </c>
      <c r="G57" s="15" t="s">
        <v>562</v>
      </c>
      <c r="H57" t="s">
        <v>33</v>
      </c>
      <c r="I57" s="2" t="s">
        <v>431</v>
      </c>
      <c r="J57" s="15" t="s">
        <v>431</v>
      </c>
      <c r="K57" s="15" t="s">
        <v>431</v>
      </c>
      <c r="L57" s="15" t="s">
        <v>431</v>
      </c>
      <c r="M57" t="s">
        <v>33</v>
      </c>
      <c r="N57">
        <v>0</v>
      </c>
      <c r="O57" s="17" t="s">
        <v>431</v>
      </c>
      <c r="R57" t="s">
        <v>685</v>
      </c>
      <c r="Z57" t="s">
        <v>624</v>
      </c>
    </row>
    <row r="58" spans="1:28">
      <c r="A58" t="s">
        <v>625</v>
      </c>
      <c r="B58" s="6" t="s">
        <v>626</v>
      </c>
      <c r="C58" s="13" t="s">
        <v>352</v>
      </c>
      <c r="D58" s="2">
        <v>0</v>
      </c>
      <c r="E58" s="15" t="s">
        <v>561</v>
      </c>
      <c r="F58" s="15" t="s">
        <v>443</v>
      </c>
      <c r="G58" s="15" t="s">
        <v>562</v>
      </c>
      <c r="H58" t="s">
        <v>33</v>
      </c>
      <c r="I58" s="2" t="s">
        <v>431</v>
      </c>
      <c r="J58" s="15" t="s">
        <v>431</v>
      </c>
      <c r="K58" s="15" t="s">
        <v>431</v>
      </c>
      <c r="L58" s="15" t="s">
        <v>431</v>
      </c>
      <c r="M58" t="s">
        <v>33</v>
      </c>
      <c r="N58">
        <v>0</v>
      </c>
      <c r="O58" s="17" t="s">
        <v>431</v>
      </c>
      <c r="R58" t="s">
        <v>685</v>
      </c>
      <c r="AB58" t="s">
        <v>391</v>
      </c>
    </row>
    <row r="59" spans="1:28">
      <c r="A59" t="s">
        <v>627</v>
      </c>
      <c r="B59" s="6" t="s">
        <v>628</v>
      </c>
      <c r="C59" s="13" t="s">
        <v>351</v>
      </c>
      <c r="D59" s="2">
        <v>0</v>
      </c>
      <c r="E59" s="15" t="s">
        <v>561</v>
      </c>
      <c r="F59" s="15" t="s">
        <v>443</v>
      </c>
      <c r="G59" s="15" t="s">
        <v>562</v>
      </c>
      <c r="H59" t="s">
        <v>33</v>
      </c>
      <c r="I59" s="2" t="s">
        <v>431</v>
      </c>
      <c r="J59" s="15" t="s">
        <v>431</v>
      </c>
      <c r="K59" s="15" t="s">
        <v>431</v>
      </c>
      <c r="L59" s="15" t="s">
        <v>431</v>
      </c>
      <c r="M59" t="s">
        <v>33</v>
      </c>
      <c r="N59">
        <v>0</v>
      </c>
      <c r="O59" s="17" t="s">
        <v>431</v>
      </c>
      <c r="R59" t="s">
        <v>685</v>
      </c>
      <c r="Z59" t="s">
        <v>629</v>
      </c>
      <c r="AA59" t="s">
        <v>414</v>
      </c>
      <c r="AB59" t="s">
        <v>367</v>
      </c>
    </row>
    <row r="60" spans="1:28">
      <c r="A60" t="s">
        <v>630</v>
      </c>
      <c r="B60" s="6" t="s">
        <v>631</v>
      </c>
      <c r="C60" s="13" t="s">
        <v>352</v>
      </c>
      <c r="D60" s="2">
        <v>0</v>
      </c>
      <c r="E60" s="15" t="s">
        <v>561</v>
      </c>
      <c r="F60" s="15" t="s">
        <v>443</v>
      </c>
      <c r="G60" s="15" t="s">
        <v>562</v>
      </c>
      <c r="H60" t="s">
        <v>33</v>
      </c>
      <c r="I60" s="2" t="s">
        <v>431</v>
      </c>
      <c r="J60" s="15" t="s">
        <v>431</v>
      </c>
      <c r="K60" s="15" t="s">
        <v>431</v>
      </c>
      <c r="L60" s="15" t="s">
        <v>431</v>
      </c>
      <c r="M60" t="s">
        <v>33</v>
      </c>
      <c r="N60">
        <v>0</v>
      </c>
      <c r="O60" s="17" t="s">
        <v>431</v>
      </c>
      <c r="R60" t="s">
        <v>685</v>
      </c>
      <c r="Z60" t="s">
        <v>632</v>
      </c>
    </row>
    <row r="61" spans="1:28">
      <c r="A61" t="s">
        <v>633</v>
      </c>
      <c r="B61" s="6" t="s">
        <v>634</v>
      </c>
      <c r="C61" s="13" t="s">
        <v>352</v>
      </c>
      <c r="D61" s="2">
        <v>0</v>
      </c>
      <c r="E61" s="15" t="s">
        <v>561</v>
      </c>
      <c r="F61" s="15" t="s">
        <v>443</v>
      </c>
      <c r="G61" s="15" t="s">
        <v>562</v>
      </c>
      <c r="H61" t="s">
        <v>33</v>
      </c>
      <c r="I61" s="2" t="s">
        <v>431</v>
      </c>
      <c r="J61" s="15" t="s">
        <v>431</v>
      </c>
      <c r="K61" s="15" t="s">
        <v>431</v>
      </c>
      <c r="L61" s="15" t="s">
        <v>431</v>
      </c>
      <c r="M61" t="s">
        <v>33</v>
      </c>
      <c r="N61">
        <v>0</v>
      </c>
      <c r="O61" s="17" t="s">
        <v>431</v>
      </c>
      <c r="R61" t="s">
        <v>685</v>
      </c>
      <c r="AB61" t="s">
        <v>392</v>
      </c>
    </row>
    <row r="62" spans="1:28">
      <c r="A62" t="s">
        <v>635</v>
      </c>
      <c r="B62" s="6" t="s">
        <v>636</v>
      </c>
      <c r="C62" s="13" t="s">
        <v>352</v>
      </c>
      <c r="D62" s="2">
        <v>13516</v>
      </c>
      <c r="E62" s="15" t="s">
        <v>591</v>
      </c>
      <c r="F62" s="15" t="s">
        <v>443</v>
      </c>
      <c r="G62" s="15" t="s">
        <v>443</v>
      </c>
      <c r="H62" t="s">
        <v>33</v>
      </c>
      <c r="I62" s="2" t="s">
        <v>431</v>
      </c>
      <c r="J62" s="15" t="s">
        <v>431</v>
      </c>
      <c r="K62" s="15" t="s">
        <v>431</v>
      </c>
      <c r="L62" s="15" t="s">
        <v>431</v>
      </c>
      <c r="M62" t="s">
        <v>33</v>
      </c>
      <c r="N62">
        <v>0</v>
      </c>
      <c r="O62" s="17" t="s">
        <v>431</v>
      </c>
      <c r="R62" t="s">
        <v>685</v>
      </c>
      <c r="Z62" t="s">
        <v>637</v>
      </c>
      <c r="AA62" t="s">
        <v>415</v>
      </c>
      <c r="AB62" t="s">
        <v>357</v>
      </c>
    </row>
    <row r="63" spans="1:28">
      <c r="A63" t="s">
        <v>638</v>
      </c>
      <c r="B63" s="6" t="s">
        <v>639</v>
      </c>
      <c r="C63" s="13" t="s">
        <v>351</v>
      </c>
      <c r="D63" s="2">
        <v>14052</v>
      </c>
      <c r="E63" s="15" t="s">
        <v>451</v>
      </c>
      <c r="F63" s="15" t="s">
        <v>446</v>
      </c>
      <c r="G63" s="15" t="s">
        <v>541</v>
      </c>
      <c r="H63" t="s">
        <v>33</v>
      </c>
      <c r="I63" s="2" t="s">
        <v>431</v>
      </c>
      <c r="J63" s="15" t="s">
        <v>431</v>
      </c>
      <c r="K63" s="15" t="s">
        <v>431</v>
      </c>
      <c r="L63" s="15" t="s">
        <v>431</v>
      </c>
      <c r="M63" t="s">
        <v>33</v>
      </c>
      <c r="N63">
        <v>0</v>
      </c>
      <c r="O63" s="17" t="s">
        <v>431</v>
      </c>
      <c r="R63" t="s">
        <v>685</v>
      </c>
      <c r="Z63" t="s">
        <v>640</v>
      </c>
    </row>
    <row r="64" spans="1:28">
      <c r="A64" t="s">
        <v>641</v>
      </c>
      <c r="B64" s="6" t="s">
        <v>642</v>
      </c>
      <c r="C64" s="13" t="s">
        <v>352</v>
      </c>
      <c r="D64" s="2">
        <v>24291</v>
      </c>
      <c r="E64" s="15" t="s">
        <v>479</v>
      </c>
      <c r="F64" s="15" t="s">
        <v>502</v>
      </c>
      <c r="G64" s="15" t="s">
        <v>459</v>
      </c>
      <c r="H64" t="s">
        <v>33</v>
      </c>
      <c r="I64" s="2" t="s">
        <v>431</v>
      </c>
      <c r="J64" s="15" t="s">
        <v>431</v>
      </c>
      <c r="K64" s="15" t="s">
        <v>431</v>
      </c>
      <c r="L64" s="15" t="s">
        <v>431</v>
      </c>
      <c r="M64" t="s">
        <v>33</v>
      </c>
      <c r="N64">
        <v>0</v>
      </c>
      <c r="O64" s="17" t="s">
        <v>643</v>
      </c>
      <c r="R64" t="s">
        <v>685</v>
      </c>
      <c r="Z64" t="s">
        <v>644</v>
      </c>
      <c r="AB64" t="s">
        <v>370</v>
      </c>
    </row>
    <row r="65" spans="1:28">
      <c r="A65" t="s">
        <v>645</v>
      </c>
      <c r="B65" s="6" t="s">
        <v>646</v>
      </c>
      <c r="C65" s="13" t="s">
        <v>351</v>
      </c>
      <c r="D65" s="2">
        <v>25367</v>
      </c>
      <c r="E65" s="15" t="s">
        <v>545</v>
      </c>
      <c r="F65" s="15" t="s">
        <v>446</v>
      </c>
      <c r="G65" s="15" t="s">
        <v>647</v>
      </c>
      <c r="H65" t="s">
        <v>33</v>
      </c>
      <c r="I65" s="2" t="s">
        <v>431</v>
      </c>
      <c r="J65" s="15" t="s">
        <v>431</v>
      </c>
      <c r="K65" s="15" t="s">
        <v>431</v>
      </c>
      <c r="L65" s="15" t="s">
        <v>431</v>
      </c>
      <c r="M65" t="s">
        <v>33</v>
      </c>
      <c r="N65">
        <v>0</v>
      </c>
      <c r="O65" s="17" t="s">
        <v>648</v>
      </c>
      <c r="R65" t="s">
        <v>685</v>
      </c>
      <c r="Z65" t="s">
        <v>649</v>
      </c>
    </row>
    <row r="66" spans="1:28">
      <c r="A66" t="s">
        <v>650</v>
      </c>
      <c r="B66" s="6" t="s">
        <v>651</v>
      </c>
      <c r="C66" s="13" t="s">
        <v>352</v>
      </c>
      <c r="D66" s="2">
        <v>34171</v>
      </c>
      <c r="E66" s="15" t="s">
        <v>469</v>
      </c>
      <c r="F66" s="15" t="s">
        <v>502</v>
      </c>
      <c r="G66" s="15" t="s">
        <v>541</v>
      </c>
      <c r="H66" t="s">
        <v>33</v>
      </c>
      <c r="I66" s="2" t="s">
        <v>431</v>
      </c>
      <c r="J66" s="15" t="s">
        <v>431</v>
      </c>
      <c r="K66" s="15" t="s">
        <v>431</v>
      </c>
      <c r="L66" s="15" t="s">
        <v>431</v>
      </c>
      <c r="M66" t="s">
        <v>33</v>
      </c>
      <c r="N66">
        <v>0</v>
      </c>
      <c r="O66" s="17" t="s">
        <v>431</v>
      </c>
      <c r="R66" t="s">
        <v>685</v>
      </c>
      <c r="AA66" t="s">
        <v>416</v>
      </c>
      <c r="AB66" t="s">
        <v>393</v>
      </c>
    </row>
    <row r="67" spans="1:28">
      <c r="A67" t="s">
        <v>652</v>
      </c>
      <c r="B67" s="6" t="s">
        <v>653</v>
      </c>
      <c r="C67" s="13" t="s">
        <v>351</v>
      </c>
      <c r="D67" s="2">
        <v>26895</v>
      </c>
      <c r="E67" s="15" t="s">
        <v>654</v>
      </c>
      <c r="F67" s="15" t="s">
        <v>536</v>
      </c>
      <c r="G67" s="15" t="s">
        <v>464</v>
      </c>
      <c r="H67" t="s">
        <v>33</v>
      </c>
      <c r="I67" s="2" t="s">
        <v>431</v>
      </c>
      <c r="J67" s="15" t="s">
        <v>431</v>
      </c>
      <c r="K67" s="15" t="s">
        <v>431</v>
      </c>
      <c r="L67" s="15" t="s">
        <v>431</v>
      </c>
      <c r="M67" t="s">
        <v>33</v>
      </c>
      <c r="N67">
        <v>0</v>
      </c>
      <c r="O67" s="17" t="s">
        <v>655</v>
      </c>
      <c r="R67" t="s">
        <v>685</v>
      </c>
      <c r="AB67" t="s">
        <v>370</v>
      </c>
    </row>
    <row r="68" spans="1:28">
      <c r="A68" t="s">
        <v>656</v>
      </c>
      <c r="B68" s="6" t="s">
        <v>657</v>
      </c>
      <c r="C68" s="13" t="s">
        <v>352</v>
      </c>
      <c r="D68" s="2">
        <v>15705</v>
      </c>
      <c r="E68" s="15" t="s">
        <v>568</v>
      </c>
      <c r="F68" s="15" t="s">
        <v>488</v>
      </c>
      <c r="G68" s="15" t="s">
        <v>658</v>
      </c>
      <c r="H68" t="s">
        <v>33</v>
      </c>
      <c r="I68" s="2" t="s">
        <v>431</v>
      </c>
      <c r="J68" s="15" t="s">
        <v>431</v>
      </c>
      <c r="K68" s="15" t="s">
        <v>431</v>
      </c>
      <c r="L68" s="15" t="s">
        <v>431</v>
      </c>
      <c r="M68" t="s">
        <v>33</v>
      </c>
      <c r="N68">
        <v>0</v>
      </c>
      <c r="O68" s="17" t="s">
        <v>659</v>
      </c>
      <c r="R68" t="s">
        <v>685</v>
      </c>
      <c r="Z68" t="s">
        <v>418</v>
      </c>
      <c r="AA68" t="s">
        <v>423</v>
      </c>
      <c r="AB68" t="s">
        <v>357</v>
      </c>
    </row>
    <row r="69" spans="1:28">
      <c r="A69" t="s">
        <v>660</v>
      </c>
      <c r="B69" s="6" t="s">
        <v>661</v>
      </c>
      <c r="C69" s="13" t="s">
        <v>351</v>
      </c>
      <c r="D69" s="2">
        <v>16278</v>
      </c>
      <c r="E69" s="15" t="s">
        <v>662</v>
      </c>
      <c r="F69" s="15" t="s">
        <v>502</v>
      </c>
      <c r="G69" s="15" t="s">
        <v>663</v>
      </c>
      <c r="H69" t="s">
        <v>33</v>
      </c>
      <c r="I69" s="2" t="s">
        <v>431</v>
      </c>
      <c r="J69" s="15" t="s">
        <v>431</v>
      </c>
      <c r="K69" s="15" t="s">
        <v>431</v>
      </c>
      <c r="L69" s="15" t="s">
        <v>431</v>
      </c>
      <c r="M69" t="s">
        <v>33</v>
      </c>
      <c r="N69">
        <v>0</v>
      </c>
      <c r="O69" s="17" t="s">
        <v>431</v>
      </c>
      <c r="R69" t="s">
        <v>685</v>
      </c>
      <c r="Z69" t="s">
        <v>417</v>
      </c>
    </row>
    <row r="70" spans="1:28">
      <c r="A70" t="s">
        <v>664</v>
      </c>
      <c r="B70" s="6" t="s">
        <v>665</v>
      </c>
      <c r="C70" s="13" t="s">
        <v>351</v>
      </c>
      <c r="D70" s="2">
        <v>26904</v>
      </c>
      <c r="E70" s="15" t="s">
        <v>654</v>
      </c>
      <c r="F70" s="15" t="s">
        <v>536</v>
      </c>
      <c r="G70" s="15" t="s">
        <v>453</v>
      </c>
      <c r="H70" t="s">
        <v>33</v>
      </c>
      <c r="I70" s="2" t="s">
        <v>431</v>
      </c>
      <c r="J70" s="15" t="s">
        <v>431</v>
      </c>
      <c r="K70" s="15" t="s">
        <v>431</v>
      </c>
      <c r="L70" s="15" t="s">
        <v>431</v>
      </c>
      <c r="M70" t="s">
        <v>33</v>
      </c>
      <c r="N70">
        <v>0</v>
      </c>
      <c r="O70" s="17" t="s">
        <v>666</v>
      </c>
      <c r="R70" t="s">
        <v>685</v>
      </c>
      <c r="Z70" t="s">
        <v>420</v>
      </c>
      <c r="AA70" t="s">
        <v>424</v>
      </c>
      <c r="AB70" t="s">
        <v>371</v>
      </c>
    </row>
    <row r="71" spans="1:28">
      <c r="A71" t="s">
        <v>667</v>
      </c>
      <c r="B71" s="6" t="s">
        <v>668</v>
      </c>
      <c r="C71" s="13" t="s">
        <v>352</v>
      </c>
      <c r="D71" s="2">
        <v>26536</v>
      </c>
      <c r="E71" s="15" t="s">
        <v>669</v>
      </c>
      <c r="F71" s="15" t="s">
        <v>536</v>
      </c>
      <c r="G71" s="15" t="s">
        <v>663</v>
      </c>
      <c r="H71" t="s">
        <v>33</v>
      </c>
      <c r="I71" s="2" t="s">
        <v>431</v>
      </c>
      <c r="J71" s="15" t="s">
        <v>431</v>
      </c>
      <c r="K71" s="15" t="s">
        <v>431</v>
      </c>
      <c r="L71" s="15" t="s">
        <v>431</v>
      </c>
      <c r="M71" t="s">
        <v>33</v>
      </c>
      <c r="N71">
        <v>0</v>
      </c>
      <c r="O71" s="17" t="s">
        <v>431</v>
      </c>
      <c r="R71" t="s">
        <v>685</v>
      </c>
      <c r="Z71" t="s">
        <v>419</v>
      </c>
    </row>
    <row r="72" spans="1:28">
      <c r="A72" t="s">
        <v>670</v>
      </c>
      <c r="B72" s="6" t="s">
        <v>671</v>
      </c>
      <c r="C72" s="13" t="s">
        <v>352</v>
      </c>
      <c r="D72" s="2">
        <v>37575</v>
      </c>
      <c r="E72" s="15" t="s">
        <v>501</v>
      </c>
      <c r="F72" s="15" t="s">
        <v>474</v>
      </c>
      <c r="G72" s="15" t="s">
        <v>546</v>
      </c>
      <c r="H72" t="s">
        <v>33</v>
      </c>
      <c r="I72" s="2" t="s">
        <v>431</v>
      </c>
      <c r="J72" s="15" t="s">
        <v>431</v>
      </c>
      <c r="K72" s="15" t="s">
        <v>431</v>
      </c>
      <c r="L72" s="15" t="s">
        <v>431</v>
      </c>
      <c r="M72" t="s">
        <v>33</v>
      </c>
      <c r="N72">
        <v>0</v>
      </c>
      <c r="O72" s="17" t="s">
        <v>431</v>
      </c>
      <c r="R72" t="s">
        <v>685</v>
      </c>
      <c r="AB72" t="s">
        <v>394</v>
      </c>
    </row>
    <row r="73" spans="1:28">
      <c r="A73" t="s">
        <v>672</v>
      </c>
      <c r="B73" s="6" t="s">
        <v>673</v>
      </c>
      <c r="C73" s="13" t="s">
        <v>352</v>
      </c>
      <c r="D73" s="2">
        <v>29386</v>
      </c>
      <c r="E73" s="15" t="s">
        <v>674</v>
      </c>
      <c r="F73" s="15" t="s">
        <v>446</v>
      </c>
      <c r="G73" s="15" t="s">
        <v>565</v>
      </c>
      <c r="H73" t="s">
        <v>33</v>
      </c>
      <c r="I73" s="2" t="s">
        <v>431</v>
      </c>
      <c r="J73" s="15" t="s">
        <v>431</v>
      </c>
      <c r="K73" s="15" t="s">
        <v>431</v>
      </c>
      <c r="L73" s="15" t="s">
        <v>431</v>
      </c>
      <c r="M73" t="s">
        <v>33</v>
      </c>
      <c r="N73">
        <v>0</v>
      </c>
      <c r="O73" s="17" t="s">
        <v>675</v>
      </c>
      <c r="R73" t="s">
        <v>685</v>
      </c>
      <c r="Z73" t="s">
        <v>422</v>
      </c>
      <c r="AA73" t="s">
        <v>425</v>
      </c>
      <c r="AB73" t="s">
        <v>371</v>
      </c>
    </row>
    <row r="74" spans="1:28">
      <c r="A74" t="s">
        <v>676</v>
      </c>
      <c r="B74" s="6" t="s">
        <v>677</v>
      </c>
      <c r="C74" s="13" t="s">
        <v>351</v>
      </c>
      <c r="D74" s="2">
        <v>31530</v>
      </c>
      <c r="E74" s="15" t="s">
        <v>678</v>
      </c>
      <c r="F74" s="15" t="s">
        <v>526</v>
      </c>
      <c r="G74" s="15" t="s">
        <v>453</v>
      </c>
      <c r="H74" t="s">
        <v>33</v>
      </c>
      <c r="I74" s="2" t="s">
        <v>431</v>
      </c>
      <c r="J74" s="15" t="s">
        <v>431</v>
      </c>
      <c r="K74" s="15" t="s">
        <v>431</v>
      </c>
      <c r="L74" s="15" t="s">
        <v>431</v>
      </c>
      <c r="M74" t="s">
        <v>33</v>
      </c>
      <c r="N74">
        <v>0</v>
      </c>
      <c r="O74" s="17" t="s">
        <v>431</v>
      </c>
      <c r="R74" t="s">
        <v>685</v>
      </c>
      <c r="Z74" t="s">
        <v>421</v>
      </c>
    </row>
    <row r="75" spans="1:28">
      <c r="A75" t="s">
        <v>679</v>
      </c>
      <c r="B75" s="6" t="s">
        <v>680</v>
      </c>
      <c r="C75" s="13" t="s">
        <v>352</v>
      </c>
      <c r="D75" s="2">
        <v>41989</v>
      </c>
      <c r="E75" s="15" t="s">
        <v>681</v>
      </c>
      <c r="F75" s="15" t="s">
        <v>488</v>
      </c>
      <c r="G75" s="15" t="s">
        <v>550</v>
      </c>
      <c r="H75" t="s">
        <v>33</v>
      </c>
      <c r="I75" s="2" t="s">
        <v>431</v>
      </c>
      <c r="J75" s="15" t="s">
        <v>431</v>
      </c>
      <c r="K75" s="15" t="s">
        <v>431</v>
      </c>
      <c r="L75" s="15" t="s">
        <v>431</v>
      </c>
      <c r="M75" t="s">
        <v>33</v>
      </c>
      <c r="N75">
        <v>0</v>
      </c>
      <c r="O75" s="17" t="s">
        <v>431</v>
      </c>
      <c r="R75" t="s">
        <v>685</v>
      </c>
      <c r="AB75" t="s">
        <v>395</v>
      </c>
    </row>
    <row r="76" spans="1:28">
      <c r="A76" t="s">
        <v>682</v>
      </c>
      <c r="B76" s="6" t="s">
        <v>683</v>
      </c>
      <c r="C76" s="13" t="s">
        <v>351</v>
      </c>
      <c r="D76" s="2">
        <v>42800</v>
      </c>
      <c r="E76" s="15" t="s">
        <v>684</v>
      </c>
      <c r="F76" s="15" t="s">
        <v>459</v>
      </c>
      <c r="G76" s="15" t="s">
        <v>446</v>
      </c>
      <c r="H76" t="s">
        <v>33</v>
      </c>
      <c r="I76" s="2" t="s">
        <v>431</v>
      </c>
      <c r="J76" s="15" t="s">
        <v>431</v>
      </c>
      <c r="K76" s="15" t="s">
        <v>431</v>
      </c>
      <c r="L76" s="15" t="s">
        <v>431</v>
      </c>
      <c r="M76" t="s">
        <v>33</v>
      </c>
      <c r="N76">
        <v>0</v>
      </c>
      <c r="O76" s="17" t="s">
        <v>431</v>
      </c>
      <c r="R76" t="s">
        <v>685</v>
      </c>
      <c r="AB76" t="s">
        <v>395</v>
      </c>
    </row>
  </sheetData>
  <autoFilter ref="A1:AE76" xr:uid="{5548FFC2-86D1-4E58-848D-9DCA1371E781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6799E-2CBF-4042-BE0A-8364426B9E7C}">
  <dimension ref="A1:AE3"/>
  <sheetViews>
    <sheetView workbookViewId="0">
      <selection activeCell="A2" sqref="A2:AE3"/>
    </sheetView>
  </sheetViews>
  <sheetFormatPr defaultRowHeight="14.25"/>
  <cols>
    <col min="13" max="13" width="14.375" bestFit="1" customWidth="1"/>
  </cols>
  <sheetData>
    <row r="1" spans="1:31" ht="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ht="15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49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</row>
    <row r="3" spans="1:31" ht="15">
      <c r="A3" s="1">
        <v>1</v>
      </c>
      <c r="B3" t="s">
        <v>31</v>
      </c>
      <c r="C3" t="s">
        <v>32</v>
      </c>
      <c r="D3" s="2">
        <v>29221</v>
      </c>
      <c r="E3">
        <v>1980</v>
      </c>
      <c r="F3">
        <v>1</v>
      </c>
      <c r="G3">
        <v>1</v>
      </c>
      <c r="H3" t="s">
        <v>33</v>
      </c>
      <c r="L3">
        <v>-1</v>
      </c>
      <c r="M3">
        <v>0</v>
      </c>
      <c r="O3" s="3" t="s">
        <v>48</v>
      </c>
      <c r="P3" t="s">
        <v>34</v>
      </c>
      <c r="R3" t="s">
        <v>35</v>
      </c>
      <c r="S3">
        <v>3</v>
      </c>
      <c r="T3" t="s">
        <v>36</v>
      </c>
      <c r="U3" t="s">
        <v>37</v>
      </c>
      <c r="V3" t="s">
        <v>38</v>
      </c>
      <c r="W3" t="s">
        <v>39</v>
      </c>
      <c r="X3" t="s">
        <v>40</v>
      </c>
      <c r="Y3" t="s">
        <v>41</v>
      </c>
      <c r="Z3" t="s">
        <v>42</v>
      </c>
      <c r="AA3" t="s">
        <v>43</v>
      </c>
      <c r="AB3" t="s">
        <v>44</v>
      </c>
      <c r="AC3" t="s">
        <v>45</v>
      </c>
      <c r="AD3" t="s">
        <v>46</v>
      </c>
      <c r="AE3" t="s">
        <v>47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70771-7479-4E81-B508-2DE428F1281D}">
  <dimension ref="A1:E33"/>
  <sheetViews>
    <sheetView workbookViewId="0">
      <selection activeCell="F34" sqref="F34"/>
    </sheetView>
  </sheetViews>
  <sheetFormatPr defaultRowHeight="14.25"/>
  <sheetData>
    <row r="1" spans="1:5" ht="15">
      <c r="A1" s="1"/>
      <c r="B1" t="s">
        <v>50</v>
      </c>
      <c r="C1" t="s">
        <v>51</v>
      </c>
      <c r="D1" t="s">
        <v>52</v>
      </c>
      <c r="E1" t="s">
        <v>53</v>
      </c>
    </row>
    <row r="2" spans="1:5" ht="15">
      <c r="A2" s="1"/>
      <c r="B2" t="s">
        <v>54</v>
      </c>
      <c r="C2" t="s">
        <v>55</v>
      </c>
      <c r="D2" t="s">
        <v>55</v>
      </c>
      <c r="E2" t="s">
        <v>55</v>
      </c>
    </row>
    <row r="3" spans="1:5" ht="15">
      <c r="A3" s="1"/>
      <c r="B3" t="s">
        <v>56</v>
      </c>
      <c r="C3" t="s">
        <v>57</v>
      </c>
      <c r="D3" t="s">
        <v>58</v>
      </c>
      <c r="E3" t="s">
        <v>59</v>
      </c>
    </row>
    <row r="4" spans="1:5" ht="15">
      <c r="A4" s="1"/>
      <c r="B4" t="s">
        <v>60</v>
      </c>
      <c r="C4" t="s">
        <v>57</v>
      </c>
      <c r="D4" t="s">
        <v>58</v>
      </c>
      <c r="E4" t="s">
        <v>61</v>
      </c>
    </row>
    <row r="5" spans="1:5" ht="15">
      <c r="A5" s="1"/>
      <c r="B5" t="s">
        <v>62</v>
      </c>
      <c r="C5" t="s">
        <v>57</v>
      </c>
      <c r="D5" t="s">
        <v>63</v>
      </c>
      <c r="E5" t="s">
        <v>122</v>
      </c>
    </row>
    <row r="6" spans="1:5" ht="15">
      <c r="A6" s="1"/>
      <c r="B6" t="s">
        <v>64</v>
      </c>
      <c r="C6" t="s">
        <v>65</v>
      </c>
      <c r="D6" t="s">
        <v>63</v>
      </c>
      <c r="E6" t="s">
        <v>66</v>
      </c>
    </row>
    <row r="7" spans="1:5" ht="15">
      <c r="A7" s="1"/>
      <c r="B7" t="s">
        <v>67</v>
      </c>
      <c r="C7" t="s">
        <v>68</v>
      </c>
      <c r="D7" t="s">
        <v>63</v>
      </c>
      <c r="E7" t="s">
        <v>69</v>
      </c>
    </row>
    <row r="8" spans="1:5" ht="15">
      <c r="A8" s="1"/>
      <c r="B8" t="s">
        <v>70</v>
      </c>
      <c r="C8" t="s">
        <v>68</v>
      </c>
      <c r="D8" t="s">
        <v>63</v>
      </c>
      <c r="E8" t="s">
        <v>71</v>
      </c>
    </row>
    <row r="9" spans="1:5" ht="15">
      <c r="A9" s="1"/>
      <c r="B9" t="s">
        <v>72</v>
      </c>
      <c r="C9" t="s">
        <v>68</v>
      </c>
      <c r="D9" t="s">
        <v>63</v>
      </c>
      <c r="E9" t="s">
        <v>73</v>
      </c>
    </row>
    <row r="10" spans="1:5" ht="15">
      <c r="A10" s="1"/>
      <c r="B10" t="s">
        <v>74</v>
      </c>
      <c r="C10" t="s">
        <v>57</v>
      </c>
      <c r="D10" t="s">
        <v>63</v>
      </c>
      <c r="E10" t="s">
        <v>123</v>
      </c>
    </row>
    <row r="11" spans="1:5" ht="15">
      <c r="A11" s="1"/>
      <c r="B11" t="s">
        <v>76</v>
      </c>
      <c r="C11" t="s">
        <v>65</v>
      </c>
      <c r="D11" t="s">
        <v>63</v>
      </c>
      <c r="E11" t="s">
        <v>77</v>
      </c>
    </row>
    <row r="12" spans="1:5" ht="15">
      <c r="A12" s="1"/>
      <c r="B12" t="s">
        <v>78</v>
      </c>
      <c r="C12" t="s">
        <v>68</v>
      </c>
      <c r="D12" t="s">
        <v>63</v>
      </c>
      <c r="E12" t="s">
        <v>79</v>
      </c>
    </row>
    <row r="13" spans="1:5" ht="15">
      <c r="A13" s="1"/>
      <c r="B13" t="s">
        <v>80</v>
      </c>
      <c r="C13" t="s">
        <v>68</v>
      </c>
      <c r="D13" t="s">
        <v>63</v>
      </c>
      <c r="E13" t="s">
        <v>81</v>
      </c>
    </row>
    <row r="14" spans="1:5" ht="15">
      <c r="A14" s="1"/>
      <c r="B14" t="s">
        <v>82</v>
      </c>
      <c r="C14" t="s">
        <v>68</v>
      </c>
      <c r="D14" t="s">
        <v>63</v>
      </c>
      <c r="E14" t="s">
        <v>83</v>
      </c>
    </row>
    <row r="15" spans="1:5" ht="15">
      <c r="A15" s="1"/>
      <c r="B15" t="s">
        <v>84</v>
      </c>
      <c r="C15" t="s">
        <v>57</v>
      </c>
      <c r="D15" t="s">
        <v>63</v>
      </c>
      <c r="E15" t="s">
        <v>75</v>
      </c>
    </row>
    <row r="16" spans="1:5" ht="15">
      <c r="A16" s="1"/>
      <c r="B16" t="s">
        <v>85</v>
      </c>
      <c r="C16" t="s">
        <v>68</v>
      </c>
      <c r="D16" t="s">
        <v>63</v>
      </c>
      <c r="E16" t="s">
        <v>86</v>
      </c>
    </row>
    <row r="17" spans="1:5" ht="15">
      <c r="A17" s="1"/>
      <c r="B17" t="s">
        <v>87</v>
      </c>
      <c r="C17" t="s">
        <v>57</v>
      </c>
      <c r="D17" t="s">
        <v>63</v>
      </c>
      <c r="E17" t="s">
        <v>88</v>
      </c>
    </row>
    <row r="18" spans="1:5" ht="15">
      <c r="A18" s="1"/>
      <c r="B18" t="s">
        <v>89</v>
      </c>
      <c r="C18" t="s">
        <v>57</v>
      </c>
      <c r="D18" t="s">
        <v>63</v>
      </c>
      <c r="E18" t="s">
        <v>90</v>
      </c>
    </row>
    <row r="19" spans="1:5" ht="15">
      <c r="A19" s="1"/>
      <c r="B19" t="s">
        <v>91</v>
      </c>
      <c r="C19" t="s">
        <v>57</v>
      </c>
      <c r="D19" t="s">
        <v>63</v>
      </c>
      <c r="E19" t="s">
        <v>92</v>
      </c>
    </row>
    <row r="20" spans="1:5" ht="15">
      <c r="A20" s="1"/>
      <c r="B20" t="s">
        <v>93</v>
      </c>
      <c r="C20" t="s">
        <v>57</v>
      </c>
      <c r="D20" t="s">
        <v>63</v>
      </c>
      <c r="E20" t="s">
        <v>94</v>
      </c>
    </row>
    <row r="21" spans="1:5" ht="15">
      <c r="A21" s="1"/>
      <c r="B21" t="s">
        <v>95</v>
      </c>
      <c r="C21" t="s">
        <v>68</v>
      </c>
      <c r="D21" t="s">
        <v>63</v>
      </c>
      <c r="E21" t="s">
        <v>96</v>
      </c>
    </row>
    <row r="22" spans="1:5" ht="15">
      <c r="A22" s="1"/>
      <c r="B22" t="s">
        <v>97</v>
      </c>
      <c r="C22" t="s">
        <v>57</v>
      </c>
      <c r="D22" t="s">
        <v>63</v>
      </c>
      <c r="E22" t="s">
        <v>98</v>
      </c>
    </row>
    <row r="23" spans="1:5" ht="15">
      <c r="A23" s="1"/>
      <c r="B23" t="s">
        <v>99</v>
      </c>
      <c r="C23" t="s">
        <v>57</v>
      </c>
      <c r="D23" t="s">
        <v>63</v>
      </c>
      <c r="E23" t="s">
        <v>100</v>
      </c>
    </row>
    <row r="24" spans="1:5" ht="15">
      <c r="A24" s="1"/>
      <c r="B24" t="s">
        <v>101</v>
      </c>
      <c r="C24" t="s">
        <v>57</v>
      </c>
      <c r="D24" t="s">
        <v>63</v>
      </c>
      <c r="E24" t="s">
        <v>102</v>
      </c>
    </row>
    <row r="25" spans="1:5" ht="15">
      <c r="A25" s="1"/>
      <c r="B25" t="s">
        <v>103</v>
      </c>
      <c r="C25" t="s">
        <v>57</v>
      </c>
      <c r="D25" t="s">
        <v>63</v>
      </c>
      <c r="E25" t="s">
        <v>104</v>
      </c>
    </row>
    <row r="26" spans="1:5" ht="15">
      <c r="A26" s="1"/>
      <c r="B26" t="s">
        <v>105</v>
      </c>
      <c r="C26" t="s">
        <v>57</v>
      </c>
      <c r="D26" t="s">
        <v>63</v>
      </c>
      <c r="E26" t="s">
        <v>106</v>
      </c>
    </row>
    <row r="27" spans="1:5" ht="15">
      <c r="A27" s="1"/>
      <c r="B27" t="s">
        <v>107</v>
      </c>
      <c r="C27" t="s">
        <v>57</v>
      </c>
      <c r="D27" t="s">
        <v>63</v>
      </c>
      <c r="E27" t="s">
        <v>108</v>
      </c>
    </row>
    <row r="28" spans="1:5" ht="15">
      <c r="A28" s="1"/>
      <c r="B28" t="s">
        <v>109</v>
      </c>
      <c r="C28" t="s">
        <v>110</v>
      </c>
      <c r="D28" t="s">
        <v>63</v>
      </c>
      <c r="E28" t="s">
        <v>111</v>
      </c>
    </row>
    <row r="29" spans="1:5" ht="15">
      <c r="A29" s="1"/>
      <c r="B29" t="s">
        <v>112</v>
      </c>
      <c r="C29" t="s">
        <v>110</v>
      </c>
      <c r="D29" t="s">
        <v>63</v>
      </c>
      <c r="E29" t="s">
        <v>113</v>
      </c>
    </row>
    <row r="30" spans="1:5" ht="15">
      <c r="A30" s="1"/>
      <c r="B30" t="s">
        <v>114</v>
      </c>
      <c r="C30" t="s">
        <v>110</v>
      </c>
      <c r="D30" t="s">
        <v>63</v>
      </c>
      <c r="E30" t="s">
        <v>115</v>
      </c>
    </row>
    <row r="31" spans="1:5" ht="15">
      <c r="A31" s="1"/>
      <c r="B31" t="s">
        <v>116</v>
      </c>
      <c r="C31" t="s">
        <v>110</v>
      </c>
      <c r="D31" t="s">
        <v>63</v>
      </c>
      <c r="E31" t="s">
        <v>117</v>
      </c>
    </row>
    <row r="32" spans="1:5" ht="15">
      <c r="A32" s="1"/>
      <c r="B32" t="s">
        <v>118</v>
      </c>
      <c r="C32" t="s">
        <v>110</v>
      </c>
      <c r="D32" t="s">
        <v>63</v>
      </c>
      <c r="E32" t="s">
        <v>119</v>
      </c>
    </row>
    <row r="33" spans="1:5" ht="15">
      <c r="A33" s="1"/>
      <c r="B33" t="s">
        <v>120</v>
      </c>
      <c r="C33" t="s">
        <v>57</v>
      </c>
      <c r="D33" t="s">
        <v>63</v>
      </c>
      <c r="E33" t="s">
        <v>121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FFC2-86D1-4E58-848D-9DCA1371E781}">
  <dimension ref="A1:BE76"/>
  <sheetViews>
    <sheetView workbookViewId="0">
      <pane xSplit="18915" ySplit="1155" topLeftCell="N1" activePane="bottomRight"/>
      <selection activeCell="N2" sqref="N2"/>
      <selection pane="topRight" activeCell="AS2" sqref="AS2"/>
      <selection pane="bottomLeft" activeCell="L21" sqref="L21"/>
      <selection pane="bottomRight" activeCell="O17" sqref="O17"/>
    </sheetView>
  </sheetViews>
  <sheetFormatPr defaultRowHeight="14.25"/>
  <cols>
    <col min="1" max="1" width="7.25" customWidth="1"/>
    <col min="2" max="2" width="5.25" customWidth="1"/>
    <col min="3" max="3" width="6.25" customWidth="1"/>
    <col min="4" max="4" width="13" bestFit="1" customWidth="1"/>
    <col min="6" max="6" width="11.625" customWidth="1"/>
    <col min="7" max="7" width="13.75" customWidth="1"/>
    <col min="8" max="8" width="5.25" customWidth="1"/>
    <col min="9" max="9" width="6.375" customWidth="1"/>
    <col min="10" max="10" width="13.125" customWidth="1"/>
    <col min="11" max="11" width="15.625" customWidth="1"/>
    <col min="12" max="12" width="15" customWidth="1"/>
    <col min="13" max="13" width="9" customWidth="1"/>
    <col min="14" max="14" width="23.5" customWidth="1"/>
    <col min="15" max="19" width="9" customWidth="1"/>
    <col min="20" max="20" width="11.75" customWidth="1"/>
    <col min="21" max="24" width="9" customWidth="1"/>
    <col min="25" max="25" width="11.125" customWidth="1"/>
    <col min="26" max="42" width="9" customWidth="1"/>
    <col min="43" max="43" width="32.875" customWidth="1"/>
    <col min="44" max="44" width="17.125" customWidth="1"/>
    <col min="256" max="256" width="7.25" customWidth="1"/>
    <col min="257" max="257" width="5.25" customWidth="1"/>
    <col min="258" max="258" width="6.25" customWidth="1"/>
    <col min="259" max="259" width="13" bestFit="1" customWidth="1"/>
    <col min="261" max="273" width="0" hidden="1" customWidth="1"/>
    <col min="512" max="512" width="7.25" customWidth="1"/>
    <col min="513" max="513" width="5.25" customWidth="1"/>
    <col min="514" max="514" width="6.25" customWidth="1"/>
    <col min="515" max="515" width="13" bestFit="1" customWidth="1"/>
    <col min="517" max="529" width="0" hidden="1" customWidth="1"/>
    <col min="768" max="768" width="7.25" customWidth="1"/>
    <col min="769" max="769" width="5.25" customWidth="1"/>
    <col min="770" max="770" width="6.25" customWidth="1"/>
    <col min="771" max="771" width="13" bestFit="1" customWidth="1"/>
    <col min="773" max="785" width="0" hidden="1" customWidth="1"/>
    <col min="1024" max="1024" width="7.25" customWidth="1"/>
    <col min="1025" max="1025" width="5.25" customWidth="1"/>
    <col min="1026" max="1026" width="6.25" customWidth="1"/>
    <col min="1027" max="1027" width="13" bestFit="1" customWidth="1"/>
    <col min="1029" max="1041" width="0" hidden="1" customWidth="1"/>
    <col min="1280" max="1280" width="7.25" customWidth="1"/>
    <col min="1281" max="1281" width="5.25" customWidth="1"/>
    <col min="1282" max="1282" width="6.25" customWidth="1"/>
    <col min="1283" max="1283" width="13" bestFit="1" customWidth="1"/>
    <col min="1285" max="1297" width="0" hidden="1" customWidth="1"/>
    <col min="1536" max="1536" width="7.25" customWidth="1"/>
    <col min="1537" max="1537" width="5.25" customWidth="1"/>
    <col min="1538" max="1538" width="6.25" customWidth="1"/>
    <col min="1539" max="1539" width="13" bestFit="1" customWidth="1"/>
    <col min="1541" max="1553" width="0" hidden="1" customWidth="1"/>
    <col min="1792" max="1792" width="7.25" customWidth="1"/>
    <col min="1793" max="1793" width="5.25" customWidth="1"/>
    <col min="1794" max="1794" width="6.25" customWidth="1"/>
    <col min="1795" max="1795" width="13" bestFit="1" customWidth="1"/>
    <col min="1797" max="1809" width="0" hidden="1" customWidth="1"/>
    <col min="2048" max="2048" width="7.25" customWidth="1"/>
    <col min="2049" max="2049" width="5.25" customWidth="1"/>
    <col min="2050" max="2050" width="6.25" customWidth="1"/>
    <col min="2051" max="2051" width="13" bestFit="1" customWidth="1"/>
    <col min="2053" max="2065" width="0" hidden="1" customWidth="1"/>
    <col min="2304" max="2304" width="7.25" customWidth="1"/>
    <col min="2305" max="2305" width="5.25" customWidth="1"/>
    <col min="2306" max="2306" width="6.25" customWidth="1"/>
    <col min="2307" max="2307" width="13" bestFit="1" customWidth="1"/>
    <col min="2309" max="2321" width="0" hidden="1" customWidth="1"/>
    <col min="2560" max="2560" width="7.25" customWidth="1"/>
    <col min="2561" max="2561" width="5.25" customWidth="1"/>
    <col min="2562" max="2562" width="6.25" customWidth="1"/>
    <col min="2563" max="2563" width="13" bestFit="1" customWidth="1"/>
    <col min="2565" max="2577" width="0" hidden="1" customWidth="1"/>
    <col min="2816" max="2816" width="7.25" customWidth="1"/>
    <col min="2817" max="2817" width="5.25" customWidth="1"/>
    <col min="2818" max="2818" width="6.25" customWidth="1"/>
    <col min="2819" max="2819" width="13" bestFit="1" customWidth="1"/>
    <col min="2821" max="2833" width="0" hidden="1" customWidth="1"/>
    <col min="3072" max="3072" width="7.25" customWidth="1"/>
    <col min="3073" max="3073" width="5.25" customWidth="1"/>
    <col min="3074" max="3074" width="6.25" customWidth="1"/>
    <col min="3075" max="3075" width="13" bestFit="1" customWidth="1"/>
    <col min="3077" max="3089" width="0" hidden="1" customWidth="1"/>
    <col min="3328" max="3328" width="7.25" customWidth="1"/>
    <col min="3329" max="3329" width="5.25" customWidth="1"/>
    <col min="3330" max="3330" width="6.25" customWidth="1"/>
    <col min="3331" max="3331" width="13" bestFit="1" customWidth="1"/>
    <col min="3333" max="3345" width="0" hidden="1" customWidth="1"/>
    <col min="3584" max="3584" width="7.25" customWidth="1"/>
    <col min="3585" max="3585" width="5.25" customWidth="1"/>
    <col min="3586" max="3586" width="6.25" customWidth="1"/>
    <col min="3587" max="3587" width="13" bestFit="1" customWidth="1"/>
    <col min="3589" max="3601" width="0" hidden="1" customWidth="1"/>
    <col min="3840" max="3840" width="7.25" customWidth="1"/>
    <col min="3841" max="3841" width="5.25" customWidth="1"/>
    <col min="3842" max="3842" width="6.25" customWidth="1"/>
    <col min="3843" max="3843" width="13" bestFit="1" customWidth="1"/>
    <col min="3845" max="3857" width="0" hidden="1" customWidth="1"/>
    <col min="4096" max="4096" width="7.25" customWidth="1"/>
    <col min="4097" max="4097" width="5.25" customWidth="1"/>
    <col min="4098" max="4098" width="6.25" customWidth="1"/>
    <col min="4099" max="4099" width="13" bestFit="1" customWidth="1"/>
    <col min="4101" max="4113" width="0" hidden="1" customWidth="1"/>
    <col min="4352" max="4352" width="7.25" customWidth="1"/>
    <col min="4353" max="4353" width="5.25" customWidth="1"/>
    <col min="4354" max="4354" width="6.25" customWidth="1"/>
    <col min="4355" max="4355" width="13" bestFit="1" customWidth="1"/>
    <col min="4357" max="4369" width="0" hidden="1" customWidth="1"/>
    <col min="4608" max="4608" width="7.25" customWidth="1"/>
    <col min="4609" max="4609" width="5.25" customWidth="1"/>
    <col min="4610" max="4610" width="6.25" customWidth="1"/>
    <col min="4611" max="4611" width="13" bestFit="1" customWidth="1"/>
    <col min="4613" max="4625" width="0" hidden="1" customWidth="1"/>
    <col min="4864" max="4864" width="7.25" customWidth="1"/>
    <col min="4865" max="4865" width="5.25" customWidth="1"/>
    <col min="4866" max="4866" width="6.25" customWidth="1"/>
    <col min="4867" max="4867" width="13" bestFit="1" customWidth="1"/>
    <col min="4869" max="4881" width="0" hidden="1" customWidth="1"/>
    <col min="5120" max="5120" width="7.25" customWidth="1"/>
    <col min="5121" max="5121" width="5.25" customWidth="1"/>
    <col min="5122" max="5122" width="6.25" customWidth="1"/>
    <col min="5123" max="5123" width="13" bestFit="1" customWidth="1"/>
    <col min="5125" max="5137" width="0" hidden="1" customWidth="1"/>
    <col min="5376" max="5376" width="7.25" customWidth="1"/>
    <col min="5377" max="5377" width="5.25" customWidth="1"/>
    <col min="5378" max="5378" width="6.25" customWidth="1"/>
    <col min="5379" max="5379" width="13" bestFit="1" customWidth="1"/>
    <col min="5381" max="5393" width="0" hidden="1" customWidth="1"/>
    <col min="5632" max="5632" width="7.25" customWidth="1"/>
    <col min="5633" max="5633" width="5.25" customWidth="1"/>
    <col min="5634" max="5634" width="6.25" customWidth="1"/>
    <col min="5635" max="5635" width="13" bestFit="1" customWidth="1"/>
    <col min="5637" max="5649" width="0" hidden="1" customWidth="1"/>
    <col min="5888" max="5888" width="7.25" customWidth="1"/>
    <col min="5889" max="5889" width="5.25" customWidth="1"/>
    <col min="5890" max="5890" width="6.25" customWidth="1"/>
    <col min="5891" max="5891" width="13" bestFit="1" customWidth="1"/>
    <col min="5893" max="5905" width="0" hidden="1" customWidth="1"/>
    <col min="6144" max="6144" width="7.25" customWidth="1"/>
    <col min="6145" max="6145" width="5.25" customWidth="1"/>
    <col min="6146" max="6146" width="6.25" customWidth="1"/>
    <col min="6147" max="6147" width="13" bestFit="1" customWidth="1"/>
    <col min="6149" max="6161" width="0" hidden="1" customWidth="1"/>
    <col min="6400" max="6400" width="7.25" customWidth="1"/>
    <col min="6401" max="6401" width="5.25" customWidth="1"/>
    <col min="6402" max="6402" width="6.25" customWidth="1"/>
    <col min="6403" max="6403" width="13" bestFit="1" customWidth="1"/>
    <col min="6405" max="6417" width="0" hidden="1" customWidth="1"/>
    <col min="6656" max="6656" width="7.25" customWidth="1"/>
    <col min="6657" max="6657" width="5.25" customWidth="1"/>
    <col min="6658" max="6658" width="6.25" customWidth="1"/>
    <col min="6659" max="6659" width="13" bestFit="1" customWidth="1"/>
    <col min="6661" max="6673" width="0" hidden="1" customWidth="1"/>
    <col min="6912" max="6912" width="7.25" customWidth="1"/>
    <col min="6913" max="6913" width="5.25" customWidth="1"/>
    <col min="6914" max="6914" width="6.25" customWidth="1"/>
    <col min="6915" max="6915" width="13" bestFit="1" customWidth="1"/>
    <col min="6917" max="6929" width="0" hidden="1" customWidth="1"/>
    <col min="7168" max="7168" width="7.25" customWidth="1"/>
    <col min="7169" max="7169" width="5.25" customWidth="1"/>
    <col min="7170" max="7170" width="6.25" customWidth="1"/>
    <col min="7171" max="7171" width="13" bestFit="1" customWidth="1"/>
    <col min="7173" max="7185" width="0" hidden="1" customWidth="1"/>
    <col min="7424" max="7424" width="7.25" customWidth="1"/>
    <col min="7425" max="7425" width="5.25" customWidth="1"/>
    <col min="7426" max="7426" width="6.25" customWidth="1"/>
    <col min="7427" max="7427" width="13" bestFit="1" customWidth="1"/>
    <col min="7429" max="7441" width="0" hidden="1" customWidth="1"/>
    <col min="7680" max="7680" width="7.25" customWidth="1"/>
    <col min="7681" max="7681" width="5.25" customWidth="1"/>
    <col min="7682" max="7682" width="6.25" customWidth="1"/>
    <col min="7683" max="7683" width="13" bestFit="1" customWidth="1"/>
    <col min="7685" max="7697" width="0" hidden="1" customWidth="1"/>
    <col min="7936" max="7936" width="7.25" customWidth="1"/>
    <col min="7937" max="7937" width="5.25" customWidth="1"/>
    <col min="7938" max="7938" width="6.25" customWidth="1"/>
    <col min="7939" max="7939" width="13" bestFit="1" customWidth="1"/>
    <col min="7941" max="7953" width="0" hidden="1" customWidth="1"/>
    <col min="8192" max="8192" width="7.25" customWidth="1"/>
    <col min="8193" max="8193" width="5.25" customWidth="1"/>
    <col min="8194" max="8194" width="6.25" customWidth="1"/>
    <col min="8195" max="8195" width="13" bestFit="1" customWidth="1"/>
    <col min="8197" max="8209" width="0" hidden="1" customWidth="1"/>
    <col min="8448" max="8448" width="7.25" customWidth="1"/>
    <col min="8449" max="8449" width="5.25" customWidth="1"/>
    <col min="8450" max="8450" width="6.25" customWidth="1"/>
    <col min="8451" max="8451" width="13" bestFit="1" customWidth="1"/>
    <col min="8453" max="8465" width="0" hidden="1" customWidth="1"/>
    <col min="8704" max="8704" width="7.25" customWidth="1"/>
    <col min="8705" max="8705" width="5.25" customWidth="1"/>
    <col min="8706" max="8706" width="6.25" customWidth="1"/>
    <col min="8707" max="8707" width="13" bestFit="1" customWidth="1"/>
    <col min="8709" max="8721" width="0" hidden="1" customWidth="1"/>
    <col min="8960" max="8960" width="7.25" customWidth="1"/>
    <col min="8961" max="8961" width="5.25" customWidth="1"/>
    <col min="8962" max="8962" width="6.25" customWidth="1"/>
    <col min="8963" max="8963" width="13" bestFit="1" customWidth="1"/>
    <col min="8965" max="8977" width="0" hidden="1" customWidth="1"/>
    <col min="9216" max="9216" width="7.25" customWidth="1"/>
    <col min="9217" max="9217" width="5.25" customWidth="1"/>
    <col min="9218" max="9218" width="6.25" customWidth="1"/>
    <col min="9219" max="9219" width="13" bestFit="1" customWidth="1"/>
    <col min="9221" max="9233" width="0" hidden="1" customWidth="1"/>
    <col min="9472" max="9472" width="7.25" customWidth="1"/>
    <col min="9473" max="9473" width="5.25" customWidth="1"/>
    <col min="9474" max="9474" width="6.25" customWidth="1"/>
    <col min="9475" max="9475" width="13" bestFit="1" customWidth="1"/>
    <col min="9477" max="9489" width="0" hidden="1" customWidth="1"/>
    <col min="9728" max="9728" width="7.25" customWidth="1"/>
    <col min="9729" max="9729" width="5.25" customWidth="1"/>
    <col min="9730" max="9730" width="6.25" customWidth="1"/>
    <col min="9731" max="9731" width="13" bestFit="1" customWidth="1"/>
    <col min="9733" max="9745" width="0" hidden="1" customWidth="1"/>
    <col min="9984" max="9984" width="7.25" customWidth="1"/>
    <col min="9985" max="9985" width="5.25" customWidth="1"/>
    <col min="9986" max="9986" width="6.25" customWidth="1"/>
    <col min="9987" max="9987" width="13" bestFit="1" customWidth="1"/>
    <col min="9989" max="10001" width="0" hidden="1" customWidth="1"/>
    <col min="10240" max="10240" width="7.25" customWidth="1"/>
    <col min="10241" max="10241" width="5.25" customWidth="1"/>
    <col min="10242" max="10242" width="6.25" customWidth="1"/>
    <col min="10243" max="10243" width="13" bestFit="1" customWidth="1"/>
    <col min="10245" max="10257" width="0" hidden="1" customWidth="1"/>
    <col min="10496" max="10496" width="7.25" customWidth="1"/>
    <col min="10497" max="10497" width="5.25" customWidth="1"/>
    <col min="10498" max="10498" width="6.25" customWidth="1"/>
    <col min="10499" max="10499" width="13" bestFit="1" customWidth="1"/>
    <col min="10501" max="10513" width="0" hidden="1" customWidth="1"/>
    <col min="10752" max="10752" width="7.25" customWidth="1"/>
    <col min="10753" max="10753" width="5.25" customWidth="1"/>
    <col min="10754" max="10754" width="6.25" customWidth="1"/>
    <col min="10755" max="10755" width="13" bestFit="1" customWidth="1"/>
    <col min="10757" max="10769" width="0" hidden="1" customWidth="1"/>
    <col min="11008" max="11008" width="7.25" customWidth="1"/>
    <col min="11009" max="11009" width="5.25" customWidth="1"/>
    <col min="11010" max="11010" width="6.25" customWidth="1"/>
    <col min="11011" max="11011" width="13" bestFit="1" customWidth="1"/>
    <col min="11013" max="11025" width="0" hidden="1" customWidth="1"/>
    <col min="11264" max="11264" width="7.25" customWidth="1"/>
    <col min="11265" max="11265" width="5.25" customWidth="1"/>
    <col min="11266" max="11266" width="6.25" customWidth="1"/>
    <col min="11267" max="11267" width="13" bestFit="1" customWidth="1"/>
    <col min="11269" max="11281" width="0" hidden="1" customWidth="1"/>
    <col min="11520" max="11520" width="7.25" customWidth="1"/>
    <col min="11521" max="11521" width="5.25" customWidth="1"/>
    <col min="11522" max="11522" width="6.25" customWidth="1"/>
    <col min="11523" max="11523" width="13" bestFit="1" customWidth="1"/>
    <col min="11525" max="11537" width="0" hidden="1" customWidth="1"/>
    <col min="11776" max="11776" width="7.25" customWidth="1"/>
    <col min="11777" max="11777" width="5.25" customWidth="1"/>
    <col min="11778" max="11778" width="6.25" customWidth="1"/>
    <col min="11779" max="11779" width="13" bestFit="1" customWidth="1"/>
    <col min="11781" max="11793" width="0" hidden="1" customWidth="1"/>
    <col min="12032" max="12032" width="7.25" customWidth="1"/>
    <col min="12033" max="12033" width="5.25" customWidth="1"/>
    <col min="12034" max="12034" width="6.25" customWidth="1"/>
    <col min="12035" max="12035" width="13" bestFit="1" customWidth="1"/>
    <col min="12037" max="12049" width="0" hidden="1" customWidth="1"/>
    <col min="12288" max="12288" width="7.25" customWidth="1"/>
    <col min="12289" max="12289" width="5.25" customWidth="1"/>
    <col min="12290" max="12290" width="6.25" customWidth="1"/>
    <col min="12291" max="12291" width="13" bestFit="1" customWidth="1"/>
    <col min="12293" max="12305" width="0" hidden="1" customWidth="1"/>
    <col min="12544" max="12544" width="7.25" customWidth="1"/>
    <col min="12545" max="12545" width="5.25" customWidth="1"/>
    <col min="12546" max="12546" width="6.25" customWidth="1"/>
    <col min="12547" max="12547" width="13" bestFit="1" customWidth="1"/>
    <col min="12549" max="12561" width="0" hidden="1" customWidth="1"/>
    <col min="12800" max="12800" width="7.25" customWidth="1"/>
    <col min="12801" max="12801" width="5.25" customWidth="1"/>
    <col min="12802" max="12802" width="6.25" customWidth="1"/>
    <col min="12803" max="12803" width="13" bestFit="1" customWidth="1"/>
    <col min="12805" max="12817" width="0" hidden="1" customWidth="1"/>
    <col min="13056" max="13056" width="7.25" customWidth="1"/>
    <col min="13057" max="13057" width="5.25" customWidth="1"/>
    <col min="13058" max="13058" width="6.25" customWidth="1"/>
    <col min="13059" max="13059" width="13" bestFit="1" customWidth="1"/>
    <col min="13061" max="13073" width="0" hidden="1" customWidth="1"/>
    <col min="13312" max="13312" width="7.25" customWidth="1"/>
    <col min="13313" max="13313" width="5.25" customWidth="1"/>
    <col min="13314" max="13314" width="6.25" customWidth="1"/>
    <col min="13315" max="13315" width="13" bestFit="1" customWidth="1"/>
    <col min="13317" max="13329" width="0" hidden="1" customWidth="1"/>
    <col min="13568" max="13568" width="7.25" customWidth="1"/>
    <col min="13569" max="13569" width="5.25" customWidth="1"/>
    <col min="13570" max="13570" width="6.25" customWidth="1"/>
    <col min="13571" max="13571" width="13" bestFit="1" customWidth="1"/>
    <col min="13573" max="13585" width="0" hidden="1" customWidth="1"/>
    <col min="13824" max="13824" width="7.25" customWidth="1"/>
    <col min="13825" max="13825" width="5.25" customWidth="1"/>
    <col min="13826" max="13826" width="6.25" customWidth="1"/>
    <col min="13827" max="13827" width="13" bestFit="1" customWidth="1"/>
    <col min="13829" max="13841" width="0" hidden="1" customWidth="1"/>
    <col min="14080" max="14080" width="7.25" customWidth="1"/>
    <col min="14081" max="14081" width="5.25" customWidth="1"/>
    <col min="14082" max="14082" width="6.25" customWidth="1"/>
    <col min="14083" max="14083" width="13" bestFit="1" customWidth="1"/>
    <col min="14085" max="14097" width="0" hidden="1" customWidth="1"/>
    <col min="14336" max="14336" width="7.25" customWidth="1"/>
    <col min="14337" max="14337" width="5.25" customWidth="1"/>
    <col min="14338" max="14338" width="6.25" customWidth="1"/>
    <col min="14339" max="14339" width="13" bestFit="1" customWidth="1"/>
    <col min="14341" max="14353" width="0" hidden="1" customWidth="1"/>
    <col min="14592" max="14592" width="7.25" customWidth="1"/>
    <col min="14593" max="14593" width="5.25" customWidth="1"/>
    <col min="14594" max="14594" width="6.25" customWidth="1"/>
    <col min="14595" max="14595" width="13" bestFit="1" customWidth="1"/>
    <col min="14597" max="14609" width="0" hidden="1" customWidth="1"/>
    <col min="14848" max="14848" width="7.25" customWidth="1"/>
    <col min="14849" max="14849" width="5.25" customWidth="1"/>
    <col min="14850" max="14850" width="6.25" customWidth="1"/>
    <col min="14851" max="14851" width="13" bestFit="1" customWidth="1"/>
    <col min="14853" max="14865" width="0" hidden="1" customWidth="1"/>
    <col min="15104" max="15104" width="7.25" customWidth="1"/>
    <col min="15105" max="15105" width="5.25" customWidth="1"/>
    <col min="15106" max="15106" width="6.25" customWidth="1"/>
    <col min="15107" max="15107" width="13" bestFit="1" customWidth="1"/>
    <col min="15109" max="15121" width="0" hidden="1" customWidth="1"/>
    <col min="15360" max="15360" width="7.25" customWidth="1"/>
    <col min="15361" max="15361" width="5.25" customWidth="1"/>
    <col min="15362" max="15362" width="6.25" customWidth="1"/>
    <col min="15363" max="15363" width="13" bestFit="1" customWidth="1"/>
    <col min="15365" max="15377" width="0" hidden="1" customWidth="1"/>
    <col min="15616" max="15616" width="7.25" customWidth="1"/>
    <col min="15617" max="15617" width="5.25" customWidth="1"/>
    <col min="15618" max="15618" width="6.25" customWidth="1"/>
    <col min="15619" max="15619" width="13" bestFit="1" customWidth="1"/>
    <col min="15621" max="15633" width="0" hidden="1" customWidth="1"/>
    <col min="15872" max="15872" width="7.25" customWidth="1"/>
    <col min="15873" max="15873" width="5.25" customWidth="1"/>
    <col min="15874" max="15874" width="6.25" customWidth="1"/>
    <col min="15875" max="15875" width="13" bestFit="1" customWidth="1"/>
    <col min="15877" max="15889" width="0" hidden="1" customWidth="1"/>
    <col min="16128" max="16128" width="7.25" customWidth="1"/>
    <col min="16129" max="16129" width="5.25" customWidth="1"/>
    <col min="16130" max="16130" width="6.25" customWidth="1"/>
    <col min="16131" max="16131" width="13" bestFit="1" customWidth="1"/>
    <col min="16133" max="16145" width="0" hidden="1" customWidth="1"/>
  </cols>
  <sheetData>
    <row r="1" spans="1:57" ht="15">
      <c r="A1" t="s">
        <v>124</v>
      </c>
      <c r="B1" t="s">
        <v>125</v>
      </c>
      <c r="C1" t="s">
        <v>126</v>
      </c>
      <c r="D1" s="4" t="s">
        <v>127</v>
      </c>
      <c r="E1" s="4" t="s">
        <v>128</v>
      </c>
      <c r="F1" s="4" t="s">
        <v>129</v>
      </c>
      <c r="G1" s="4" t="s">
        <v>130</v>
      </c>
      <c r="H1" s="4" t="s">
        <v>131</v>
      </c>
      <c r="I1" s="4" t="s">
        <v>132</v>
      </c>
      <c r="J1" s="4" t="s">
        <v>133</v>
      </c>
      <c r="K1" s="4" t="s">
        <v>130</v>
      </c>
      <c r="L1" s="4" t="s">
        <v>134</v>
      </c>
      <c r="M1" s="4" t="s">
        <v>135</v>
      </c>
      <c r="N1" s="4" t="s">
        <v>136</v>
      </c>
      <c r="Q1" s="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  <c r="AC1" t="s">
        <v>12</v>
      </c>
      <c r="AD1" t="s">
        <v>49</v>
      </c>
      <c r="AE1" t="s">
        <v>14</v>
      </c>
      <c r="AF1" t="s">
        <v>15</v>
      </c>
      <c r="AG1" t="s">
        <v>16</v>
      </c>
      <c r="AH1" t="s">
        <v>17</v>
      </c>
      <c r="AI1" t="s">
        <v>18</v>
      </c>
      <c r="AJ1" t="s">
        <v>19</v>
      </c>
      <c r="AK1" t="s">
        <v>20</v>
      </c>
      <c r="AL1" t="s">
        <v>21</v>
      </c>
      <c r="AM1" t="s">
        <v>22</v>
      </c>
      <c r="AN1" t="s">
        <v>23</v>
      </c>
      <c r="AO1" t="s">
        <v>24</v>
      </c>
      <c r="AP1" t="s">
        <v>25</v>
      </c>
      <c r="AQ1" t="s">
        <v>26</v>
      </c>
      <c r="AR1" t="s">
        <v>27</v>
      </c>
      <c r="AS1" t="s">
        <v>28</v>
      </c>
      <c r="AT1" t="s">
        <v>29</v>
      </c>
      <c r="AU1" t="s">
        <v>30</v>
      </c>
    </row>
    <row r="2" spans="1:57">
      <c r="A2" s="5" t="s">
        <v>137</v>
      </c>
      <c r="B2" t="s">
        <v>138</v>
      </c>
      <c r="D2" s="6" t="str">
        <f>E4&amp;"之"&amp;B2</f>
        <v>陈森铨之父</v>
      </c>
      <c r="E2" s="6" t="s">
        <v>139</v>
      </c>
      <c r="F2" s="6"/>
      <c r="G2" s="6"/>
      <c r="H2" s="6"/>
      <c r="I2" s="6"/>
      <c r="J2" s="6"/>
      <c r="K2" s="6"/>
      <c r="L2" s="6"/>
      <c r="M2" s="6"/>
      <c r="N2" s="6" t="s">
        <v>140</v>
      </c>
      <c r="P2" t="str">
        <f>CONCATENATE("[","""",A2,"""","]")</f>
        <v>["a1"]</v>
      </c>
      <c r="Q2" t="str">
        <f>A2</f>
        <v>a1</v>
      </c>
      <c r="R2" t="str">
        <f>+E2</f>
        <v>陈兴田</v>
      </c>
      <c r="S2" t="s">
        <v>32</v>
      </c>
      <c r="T2" s="2"/>
      <c r="U2" s="15"/>
      <c r="V2" s="15"/>
      <c r="W2" s="15"/>
      <c r="AD2">
        <v>1</v>
      </c>
      <c r="AE2" s="17" t="str">
        <f>IF(L2&lt;&gt;"",L2,"")</f>
        <v/>
      </c>
      <c r="AH2" t="s">
        <v>35</v>
      </c>
      <c r="AK2" t="s">
        <v>151</v>
      </c>
      <c r="AL2" t="s">
        <v>38</v>
      </c>
      <c r="AM2" t="s">
        <v>39</v>
      </c>
      <c r="AN2" t="s">
        <v>40</v>
      </c>
      <c r="AO2" t="s">
        <v>41</v>
      </c>
      <c r="AP2" t="str">
        <f>+P3</f>
        <v>["a2"]</v>
      </c>
      <c r="AQ2" t="str">
        <f>+P4</f>
        <v>["b01"]</v>
      </c>
      <c r="AR2" t="s">
        <v>44</v>
      </c>
      <c r="AS2" t="s">
        <v>426</v>
      </c>
      <c r="AT2" t="s">
        <v>46</v>
      </c>
      <c r="AU2" t="s">
        <v>47</v>
      </c>
    </row>
    <row r="3" spans="1:57">
      <c r="A3" t="s">
        <v>141</v>
      </c>
      <c r="B3" t="s">
        <v>142</v>
      </c>
      <c r="D3" s="6" t="str">
        <f>E4&amp;"之"&amp;B3</f>
        <v>陈森铨之母</v>
      </c>
      <c r="E3" s="6" t="s">
        <v>143</v>
      </c>
      <c r="F3" s="6" t="s">
        <v>144</v>
      </c>
      <c r="G3" s="6" t="s">
        <v>145</v>
      </c>
      <c r="H3" s="6"/>
      <c r="I3" s="6"/>
      <c r="J3" s="7" t="s">
        <v>146</v>
      </c>
      <c r="K3" s="7">
        <v>18814</v>
      </c>
      <c r="L3" s="6"/>
      <c r="M3" s="6"/>
      <c r="N3" s="6" t="s">
        <v>147</v>
      </c>
      <c r="P3" t="str">
        <f>CONCATENATE("[","""",A3,"""","]")</f>
        <v>["a2"]</v>
      </c>
      <c r="Q3" t="str">
        <f>A3</f>
        <v>a2</v>
      </c>
      <c r="R3" t="str">
        <f>+E3</f>
        <v>李大妹</v>
      </c>
      <c r="S3" t="s">
        <v>148</v>
      </c>
      <c r="T3" t="s">
        <v>149</v>
      </c>
      <c r="U3" s="15">
        <v>1871</v>
      </c>
      <c r="V3" s="15">
        <v>7</v>
      </c>
      <c r="W3" s="15">
        <v>12</v>
      </c>
      <c r="X3" t="s">
        <v>150</v>
      </c>
      <c r="Y3" s="2">
        <v>18814</v>
      </c>
      <c r="Z3">
        <v>1951</v>
      </c>
      <c r="AA3">
        <v>7</v>
      </c>
      <c r="AB3">
        <v>5</v>
      </c>
      <c r="AC3" t="s">
        <v>150</v>
      </c>
      <c r="AD3">
        <v>1</v>
      </c>
      <c r="AE3" s="17" t="str">
        <f t="shared" ref="AE3:AE66" si="0">IF(L3&lt;&gt;"",L3,"")</f>
        <v/>
      </c>
      <c r="AK3" t="s">
        <v>355</v>
      </c>
      <c r="AP3" t="str">
        <f>+P2</f>
        <v>["a1"]</v>
      </c>
      <c r="AQ3" t="str">
        <f>+P4</f>
        <v>["b01"]</v>
      </c>
    </row>
    <row r="4" spans="1:57">
      <c r="A4" t="s">
        <v>152</v>
      </c>
      <c r="B4" t="s">
        <v>153</v>
      </c>
      <c r="C4" t="s">
        <v>139</v>
      </c>
      <c r="D4" s="6" t="str">
        <f>C4&amp;"之"&amp;B4</f>
        <v>陈兴田之子</v>
      </c>
      <c r="E4" s="6" t="s">
        <v>154</v>
      </c>
      <c r="F4" s="6" t="s">
        <v>155</v>
      </c>
      <c r="G4" s="6" t="str">
        <f>TEXT(F4,"[$-130000]YYYY年M月D日")</f>
        <v>農1898/3/5</v>
      </c>
      <c r="H4" s="8"/>
      <c r="I4" s="6"/>
      <c r="J4" s="7" t="s">
        <v>156</v>
      </c>
      <c r="K4" s="6" t="str">
        <f>TEXT(J4,"[$-130000]YYYY年M月D日")</f>
        <v>農1974/12/15</v>
      </c>
      <c r="L4" s="6"/>
      <c r="M4" s="6"/>
      <c r="N4" s="6" t="s">
        <v>157</v>
      </c>
      <c r="P4" t="str">
        <f t="shared" ref="P4:P67" si="1">CONCATENATE("[","""",A4,"""","]")</f>
        <v>["b01"]</v>
      </c>
      <c r="Q4" t="s">
        <v>152</v>
      </c>
      <c r="R4" s="6" t="str">
        <f>E4</f>
        <v>陈森铨</v>
      </c>
      <c r="S4" t="s">
        <v>32</v>
      </c>
      <c r="T4" t="s">
        <v>354</v>
      </c>
      <c r="U4" s="15">
        <v>1898</v>
      </c>
      <c r="V4" s="15">
        <v>3</v>
      </c>
      <c r="W4" s="15">
        <v>5</v>
      </c>
      <c r="X4" t="s">
        <v>150</v>
      </c>
      <c r="Y4" s="16">
        <v>27378</v>
      </c>
      <c r="Z4" s="15">
        <v>1974</v>
      </c>
      <c r="AA4" s="15">
        <v>12</v>
      </c>
      <c r="AB4" s="15">
        <v>15</v>
      </c>
      <c r="AC4" t="s">
        <v>150</v>
      </c>
      <c r="AD4" s="15">
        <v>1</v>
      </c>
      <c r="AE4" s="17" t="str">
        <f t="shared" si="0"/>
        <v/>
      </c>
      <c r="AK4" t="s">
        <v>151</v>
      </c>
      <c r="AP4" t="s">
        <v>358</v>
      </c>
      <c r="AQ4" t="s">
        <v>356</v>
      </c>
      <c r="AR4" t="s">
        <v>357</v>
      </c>
      <c r="AS4" t="s">
        <v>427</v>
      </c>
    </row>
    <row r="5" spans="1:57">
      <c r="A5" t="s">
        <v>158</v>
      </c>
      <c r="B5" t="s">
        <v>159</v>
      </c>
      <c r="D5" s="6" t="str">
        <f>E4&amp;"之"&amp;B5</f>
        <v>陈森铨之妻</v>
      </c>
      <c r="E5" s="6" t="s">
        <v>160</v>
      </c>
      <c r="F5" s="6">
        <v>1898</v>
      </c>
      <c r="G5" s="6"/>
      <c r="H5" s="8"/>
      <c r="I5" s="6"/>
      <c r="J5" s="7" t="s">
        <v>161</v>
      </c>
      <c r="K5" s="6"/>
      <c r="L5" s="6"/>
      <c r="M5" s="6"/>
      <c r="N5" s="6" t="s">
        <v>162</v>
      </c>
      <c r="P5" t="str">
        <f t="shared" si="1"/>
        <v>["b02"]</v>
      </c>
      <c r="Q5" t="s">
        <v>158</v>
      </c>
      <c r="R5" s="6" t="str">
        <f t="shared" ref="R5:R68" si="2">E5</f>
        <v>黄三妹</v>
      </c>
      <c r="S5" t="s">
        <v>148</v>
      </c>
      <c r="U5" s="15">
        <v>1898</v>
      </c>
      <c r="V5" s="15"/>
      <c r="W5" s="15"/>
      <c r="Y5" s="2">
        <v>21880</v>
      </c>
      <c r="Z5" s="15">
        <v>1959</v>
      </c>
      <c r="AA5" s="15">
        <v>11</v>
      </c>
      <c r="AB5" s="15">
        <v>26</v>
      </c>
      <c r="AC5" t="s">
        <v>150</v>
      </c>
      <c r="AD5" s="15">
        <v>1</v>
      </c>
      <c r="AE5" s="17" t="str">
        <f t="shared" si="0"/>
        <v/>
      </c>
      <c r="AK5" s="6" t="s">
        <v>162</v>
      </c>
      <c r="AP5" t="str">
        <f>+P4</f>
        <v>["b01"]</v>
      </c>
      <c r="AQ5" t="s">
        <v>356</v>
      </c>
    </row>
    <row r="6" spans="1:57">
      <c r="A6" t="s">
        <v>163</v>
      </c>
      <c r="B6" t="s">
        <v>164</v>
      </c>
      <c r="C6" t="s">
        <v>165</v>
      </c>
      <c r="D6" s="6" t="str">
        <f>C$6&amp;"之"&amp;B6</f>
        <v>陳森銓之長子</v>
      </c>
      <c r="E6" s="6" t="s">
        <v>166</v>
      </c>
      <c r="F6" s="9">
        <v>10106</v>
      </c>
      <c r="G6" s="6" t="str">
        <f>TEXT(F6,"[$-130000]YYYY年M月D日")</f>
        <v>1927年7月22日</v>
      </c>
      <c r="H6" s="8" t="str">
        <f>MID("猴鸡狗猪鼠牛虎免龙蛇马羊",MOD(YEAR(F6),12)+1,1)</f>
        <v>免</v>
      </c>
      <c r="I6" s="6" t="str">
        <f>INDEX({"山羊座","射手座","天蝎座","天秤座","处女座","狮子座","巨蟹座","双子座","金牛座","牧羊座","双鱼座","水瓶座","山羊座"},MATCH(DATE(,MONTH(F6),DAY(F6)),{366,356,327,297,267,236,204,173,142,111,80,49,20},-1))</f>
        <v>处女座</v>
      </c>
      <c r="J6" s="10" t="s">
        <v>167</v>
      </c>
      <c r="K6" s="6" t="str">
        <f>TEXT(J6,"[$-130000]YYYY年M月D日")</f>
        <v>2018年5月10日</v>
      </c>
      <c r="L6" s="6"/>
      <c r="M6" s="6"/>
      <c r="N6" s="6"/>
      <c r="P6" t="str">
        <f t="shared" si="1"/>
        <v>["b11"]</v>
      </c>
      <c r="Q6" t="str">
        <f>+A6</f>
        <v>b11</v>
      </c>
      <c r="R6" s="6" t="str">
        <f t="shared" si="2"/>
        <v>陳本清</v>
      </c>
      <c r="S6" t="s">
        <v>32</v>
      </c>
      <c r="T6" s="2">
        <f>F6</f>
        <v>10106</v>
      </c>
      <c r="U6" s="15" t="str">
        <f>TEXT($T6,"yyyy")</f>
        <v>1927</v>
      </c>
      <c r="V6" s="15" t="str">
        <f>TEXT($T6,"m")</f>
        <v>9</v>
      </c>
      <c r="W6" s="15" t="str">
        <f>TEXT($T6,"d")</f>
        <v>1</v>
      </c>
      <c r="X6" t="s">
        <v>33</v>
      </c>
      <c r="Y6" s="2" t="str">
        <f>IF(J6&lt;&gt;"",J6,"")</f>
        <v>2018/6/23</v>
      </c>
      <c r="Z6" s="15" t="str">
        <f>TEXT($Y6,"yyyy")</f>
        <v>2018</v>
      </c>
      <c r="AA6" s="15" t="str">
        <f>TEXT($Y6,"m")</f>
        <v>6</v>
      </c>
      <c r="AB6" s="15" t="str">
        <f>TEXT($Y6,"d")</f>
        <v>23</v>
      </c>
      <c r="AC6" t="s">
        <v>33</v>
      </c>
      <c r="AD6">
        <f>IF(Y6&lt;&gt;"",1,0)</f>
        <v>1</v>
      </c>
      <c r="AE6" s="17" t="str">
        <f t="shared" si="0"/>
        <v/>
      </c>
      <c r="AP6" t="str">
        <f>+P7</f>
        <v>["b12"]</v>
      </c>
      <c r="AQ6" t="s">
        <v>396</v>
      </c>
      <c r="AR6" t="s">
        <v>357</v>
      </c>
    </row>
    <row r="7" spans="1:57">
      <c r="A7" t="s">
        <v>168</v>
      </c>
      <c r="B7" t="s">
        <v>169</v>
      </c>
      <c r="D7" s="6" t="str">
        <f>C$6&amp;"之"&amp;B7</f>
        <v>陳森銓之長媳</v>
      </c>
      <c r="E7" s="6" t="s">
        <v>170</v>
      </c>
      <c r="F7" s="9">
        <v>13939</v>
      </c>
      <c r="G7" s="6" t="str">
        <f>TEXT(F7,"[$-130000]YYYY年M月D日")</f>
        <v>1938年1月16日</v>
      </c>
      <c r="H7" s="8" t="str">
        <f t="shared" ref="H7:H18" si="3">MID("猴鸡狗猪鼠牛虎免龙蛇马羊",MOD(YEAR(F7),12)+1,1)</f>
        <v>虎</v>
      </c>
      <c r="I7" s="6" t="str">
        <f>INDEX({"山羊座","射手座","天蝎座","天秤座","处女座","狮子座","巨蟹座","双子座","金牛座","牧羊座","双鱼座","水瓶座","山羊座"},MATCH(DATE(,MONTH(F7),DAY(F7)),{366,356,327,297,267,236,204,173,142,111,80,49,20},-1))</f>
        <v>双鱼座</v>
      </c>
      <c r="J7" s="6"/>
      <c r="K7" s="6"/>
      <c r="L7" s="11" t="s">
        <v>171</v>
      </c>
      <c r="M7" s="6"/>
      <c r="N7" s="6"/>
      <c r="P7" t="str">
        <f t="shared" si="1"/>
        <v>["b12"]</v>
      </c>
      <c r="Q7" t="str">
        <f t="shared" ref="Q7:Q70" si="4">+A7</f>
        <v>b12</v>
      </c>
      <c r="R7" s="6" t="str">
        <f t="shared" si="2"/>
        <v>李瑞春</v>
      </c>
      <c r="S7" t="s">
        <v>148</v>
      </c>
      <c r="T7" s="2">
        <f t="shared" ref="T7:T70" si="5">F7</f>
        <v>13939</v>
      </c>
      <c r="U7" s="15" t="str">
        <f t="shared" ref="U7:U70" si="6">TEXT($T7,"yyyy")</f>
        <v>1938</v>
      </c>
      <c r="V7" s="15" t="str">
        <f t="shared" ref="V7:V70" si="7">TEXT($T7,"m")</f>
        <v>2</v>
      </c>
      <c r="W7" s="15" t="str">
        <f t="shared" ref="W7:W70" si="8">TEXT($T7,"d")</f>
        <v>28</v>
      </c>
      <c r="X7" t="s">
        <v>33</v>
      </c>
      <c r="Y7" s="2" t="str">
        <f t="shared" ref="Y7:Y70" si="9">IF(J7&lt;&gt;"",J7,"")</f>
        <v/>
      </c>
      <c r="Z7" s="15" t="str">
        <f t="shared" ref="Z7:Z70" si="10">TEXT($Y7,"yyyy")</f>
        <v/>
      </c>
      <c r="AA7" s="15" t="str">
        <f t="shared" ref="AA7:AA70" si="11">TEXT($Y7,"m")</f>
        <v/>
      </c>
      <c r="AB7" s="15" t="str">
        <f t="shared" ref="AB7:AB70" si="12">TEXT($Y7,"d")</f>
        <v/>
      </c>
      <c r="AC7" t="s">
        <v>33</v>
      </c>
      <c r="AD7">
        <f t="shared" ref="AD7:AD70" si="13">IF(Y7&lt;&gt;"",1,0)</f>
        <v>0</v>
      </c>
      <c r="AE7" s="17" t="str">
        <f t="shared" si="0"/>
        <v>+886-911557388</v>
      </c>
      <c r="AP7" t="str">
        <f>+P6</f>
        <v>["b11"]</v>
      </c>
      <c r="AZ7" t="str">
        <f ca="1">CONCATENATE("[","""",AZ8,"""",",","""",AZ9,"""",,"]")</f>
        <v>["b721","b722"]</v>
      </c>
      <c r="BA7">
        <v>75</v>
      </c>
      <c r="BB7" t="str" cm="1">
        <f t="array" aca="1" ref="BB7" ca="1">INDIRECT(ADDRESS(BA7,1))</f>
        <v>b7211</v>
      </c>
      <c r="BC7" t="str">
        <f ca="1">IF(BB7="","",CONCATENATE("""",BB7,""""))</f>
        <v>"b7211"</v>
      </c>
      <c r="BD7" t="str">
        <f ca="1">IF(BC8="",BC7,BC7&amp;",")</f>
        <v>"b7211",</v>
      </c>
      <c r="BE7" t="str">
        <f ca="1">CONCATENATE("[",BD7,BD8,BD9,BD10,BD11,AZ13,AZ14,"]")</f>
        <v>["b7211","b7212"]</v>
      </c>
    </row>
    <row r="8" spans="1:57">
      <c r="A8" t="s">
        <v>172</v>
      </c>
      <c r="B8" t="s">
        <v>173</v>
      </c>
      <c r="C8" t="str">
        <f>E6</f>
        <v>陳本清</v>
      </c>
      <c r="D8" s="6" t="str">
        <f>C8&amp;"之"&amp;B8</f>
        <v>陳本清之長女</v>
      </c>
      <c r="E8" s="6" t="s">
        <v>174</v>
      </c>
      <c r="F8" s="9">
        <v>22769</v>
      </c>
      <c r="G8" s="6" t="str">
        <f>TEXT(F8,"[$-130000]YYYY年M月D日")</f>
        <v>1962年3月29日</v>
      </c>
      <c r="H8" s="8" t="str">
        <f t="shared" si="3"/>
        <v>虎</v>
      </c>
      <c r="I8" s="6" t="str">
        <f>INDEX({"山羊座","射手座","天蝎座","天秤座","处女座","狮子座","巨蟹座","双子座","金牛座","牧羊座","双鱼座","水瓶座","山羊座"},MATCH(DATE(,MONTH(F8),DAY(F8)),{366,356,327,297,267,236,204,173,142,111,80,49,20},-1))</f>
        <v>金牛座</v>
      </c>
      <c r="J8" s="6"/>
      <c r="K8" s="6"/>
      <c r="L8" s="11" t="s">
        <v>175</v>
      </c>
      <c r="M8" s="6"/>
      <c r="N8" s="6"/>
      <c r="P8" t="str">
        <f t="shared" si="1"/>
        <v>["b111"]</v>
      </c>
      <c r="Q8" t="str">
        <f t="shared" si="4"/>
        <v>b111</v>
      </c>
      <c r="R8" s="6" t="str">
        <f t="shared" si="2"/>
        <v>陳致真</v>
      </c>
      <c r="S8" t="s">
        <v>148</v>
      </c>
      <c r="T8" s="2">
        <f t="shared" si="5"/>
        <v>22769</v>
      </c>
      <c r="U8" s="15" t="str">
        <f t="shared" si="6"/>
        <v>1962</v>
      </c>
      <c r="V8" s="15" t="str">
        <f t="shared" si="7"/>
        <v>5</v>
      </c>
      <c r="W8" s="15" t="str">
        <f t="shared" si="8"/>
        <v>3</v>
      </c>
      <c r="X8" t="s">
        <v>33</v>
      </c>
      <c r="Y8" s="2" t="str">
        <f t="shared" si="9"/>
        <v/>
      </c>
      <c r="Z8" s="15" t="str">
        <f t="shared" si="10"/>
        <v/>
      </c>
      <c r="AA8" s="15" t="str">
        <f t="shared" si="11"/>
        <v/>
      </c>
      <c r="AB8" s="15" t="str">
        <f t="shared" si="12"/>
        <v/>
      </c>
      <c r="AC8" t="s">
        <v>33</v>
      </c>
      <c r="AD8">
        <f t="shared" si="13"/>
        <v>0</v>
      </c>
      <c r="AE8" s="17" t="str">
        <f t="shared" si="0"/>
        <v>+886-937985686</v>
      </c>
      <c r="AP8" t="str">
        <f>+P9</f>
        <v>["b112"]</v>
      </c>
      <c r="AQ8" t="s">
        <v>397</v>
      </c>
      <c r="AR8" t="s">
        <v>359</v>
      </c>
      <c r="AY8">
        <v>73</v>
      </c>
      <c r="AZ8" t="str" cm="1">
        <f t="array" aca="1" ref="AZ8" ca="1">INDIRECT(ADDRESS(AY8,1))</f>
        <v>b721</v>
      </c>
      <c r="BA8">
        <v>76</v>
      </c>
      <c r="BB8" t="str" cm="1">
        <f t="array" aca="1" ref="BB8" ca="1">IF(BA8&gt;0,INDIRECT(ADDRESS(BA8,1)),"")</f>
        <v>b7212</v>
      </c>
      <c r="BC8" t="str">
        <f ca="1">IF(BB8="","",CONCATENATE("""",BB8,""""))</f>
        <v>"b7212"</v>
      </c>
      <c r="BD8" t="str">
        <f ca="1">IF(BC9="",BC8,BC8&amp;",")</f>
        <v>"b7212"</v>
      </c>
    </row>
    <row r="9" spans="1:57">
      <c r="A9" t="s">
        <v>176</v>
      </c>
      <c r="B9" t="s">
        <v>177</v>
      </c>
      <c r="D9" s="6" t="str">
        <f>C$8&amp;"之"&amp;B9</f>
        <v>陳本清之女婿</v>
      </c>
      <c r="E9" s="6" t="s">
        <v>178</v>
      </c>
      <c r="F9" s="9">
        <v>21934</v>
      </c>
      <c r="G9" s="12">
        <v>22271</v>
      </c>
      <c r="H9" s="8" t="str">
        <f t="shared" si="3"/>
        <v>鼠</v>
      </c>
      <c r="I9" s="6" t="str">
        <f>INDEX({"山羊座","射手座","天蝎座","天秤座","处女座","狮子座","巨蟹座","双子座","金牛座","牧羊座","双鱼座","水瓶座","山羊座"},MATCH(DATE(,MONTH(F9),DAY(F9)),{366,356,327,297,267,236,204,173,142,111,80,49,20},-1))</f>
        <v>山羊座</v>
      </c>
      <c r="J9" s="6"/>
      <c r="K9" s="6"/>
      <c r="L9" s="11" t="s">
        <v>179</v>
      </c>
      <c r="M9" s="6"/>
      <c r="N9" s="6"/>
      <c r="P9" t="str">
        <f t="shared" si="1"/>
        <v>["b112"]</v>
      </c>
      <c r="Q9" t="str">
        <f t="shared" si="4"/>
        <v>b112</v>
      </c>
      <c r="R9" s="6" t="str">
        <f t="shared" si="2"/>
        <v>陳進陽</v>
      </c>
      <c r="S9" t="s">
        <v>32</v>
      </c>
      <c r="T9" s="2">
        <f t="shared" si="5"/>
        <v>21934</v>
      </c>
      <c r="U9" s="15" t="str">
        <f t="shared" si="6"/>
        <v>1960</v>
      </c>
      <c r="V9" s="15" t="str">
        <f t="shared" si="7"/>
        <v>1</v>
      </c>
      <c r="W9" s="15" t="str">
        <f t="shared" si="8"/>
        <v>19</v>
      </c>
      <c r="X9" t="s">
        <v>33</v>
      </c>
      <c r="Y9" s="2" t="str">
        <f t="shared" si="9"/>
        <v/>
      </c>
      <c r="Z9" s="15" t="str">
        <f t="shared" si="10"/>
        <v/>
      </c>
      <c r="AA9" s="15" t="str">
        <f t="shared" si="11"/>
        <v/>
      </c>
      <c r="AB9" s="15" t="str">
        <f t="shared" si="12"/>
        <v/>
      </c>
      <c r="AC9" t="s">
        <v>33</v>
      </c>
      <c r="AD9">
        <f t="shared" si="13"/>
        <v>0</v>
      </c>
      <c r="AE9" s="17" t="str">
        <f t="shared" si="0"/>
        <v>+886-911569596</v>
      </c>
      <c r="AP9" t="str">
        <f>+P8</f>
        <v>["b111"]</v>
      </c>
      <c r="AY9">
        <f>+AY8+1</f>
        <v>74</v>
      </c>
      <c r="AZ9" t="str" cm="1">
        <f t="array" aca="1" ref="AZ9" ca="1">INDIRECT(ADDRESS(AY9,1))</f>
        <v>b722</v>
      </c>
      <c r="BB9" t="str" cm="1">
        <f t="array" aca="1" ref="BB9" ca="1">IF(BA9&gt;0,INDIRECT(ADDRESS(BA9,1)),"")</f>
        <v/>
      </c>
      <c r="BC9" t="str">
        <f ca="1">IF(BB9="","",CONCATENATE("""",BB9,""""))</f>
        <v/>
      </c>
      <c r="BD9" t="str">
        <f ca="1">IF(BC10="",BC9,BC9&amp;",")</f>
        <v/>
      </c>
    </row>
    <row r="10" spans="1:57">
      <c r="A10" t="s">
        <v>180</v>
      </c>
      <c r="B10" t="s">
        <v>181</v>
      </c>
      <c r="D10" s="6" t="str">
        <f>C$8&amp;"之"&amp;B10</f>
        <v>陳本清之外孫</v>
      </c>
      <c r="E10" s="6" t="s">
        <v>182</v>
      </c>
      <c r="F10" s="9">
        <v>33975</v>
      </c>
      <c r="G10" s="12">
        <v>33953</v>
      </c>
      <c r="H10" s="8" t="str">
        <f t="shared" si="3"/>
        <v>鸡</v>
      </c>
      <c r="I10" s="6" t="str">
        <f>INDEX({"山羊座","射手座","天蝎座","天秤座","处女座","狮子座","巨蟹座","双子座","金牛座","白羊座","双鱼座","水瓶座","山羊座"},MATCH(DATE(,MONTH(F10),DAY(F10)),{366,356,327,297,267,236,204,173,142,111,80,49,20},-1))</f>
        <v>山羊座</v>
      </c>
      <c r="J10" s="6"/>
      <c r="K10" s="6"/>
      <c r="L10" s="11" t="s">
        <v>183</v>
      </c>
      <c r="M10" s="6"/>
      <c r="N10" s="6"/>
      <c r="P10" t="str">
        <f t="shared" si="1"/>
        <v>["b1111"]</v>
      </c>
      <c r="Q10" t="str">
        <f t="shared" si="4"/>
        <v>b1111</v>
      </c>
      <c r="R10" s="6" t="str">
        <f t="shared" si="2"/>
        <v>陳昱升</v>
      </c>
      <c r="S10" t="s">
        <v>32</v>
      </c>
      <c r="T10" s="2">
        <f t="shared" si="5"/>
        <v>33975</v>
      </c>
      <c r="U10" s="15" t="str">
        <f t="shared" si="6"/>
        <v>1993</v>
      </c>
      <c r="V10" s="15" t="str">
        <f t="shared" si="7"/>
        <v>1</v>
      </c>
      <c r="W10" s="15" t="str">
        <f t="shared" si="8"/>
        <v>6</v>
      </c>
      <c r="X10" t="s">
        <v>33</v>
      </c>
      <c r="Y10" s="2" t="str">
        <f t="shared" si="9"/>
        <v/>
      </c>
      <c r="Z10" s="15" t="str">
        <f t="shared" si="10"/>
        <v/>
      </c>
      <c r="AA10" s="15" t="str">
        <f t="shared" si="11"/>
        <v/>
      </c>
      <c r="AB10" s="15" t="str">
        <f t="shared" si="12"/>
        <v/>
      </c>
      <c r="AC10" t="s">
        <v>33</v>
      </c>
      <c r="AD10">
        <f t="shared" si="13"/>
        <v>0</v>
      </c>
      <c r="AE10" s="17" t="str">
        <f t="shared" si="0"/>
        <v>+886-919399403</v>
      </c>
      <c r="AR10" t="s">
        <v>372</v>
      </c>
      <c r="BB10" t="str" cm="1">
        <f t="array" aca="1" ref="BB10" ca="1">IF(BA10&gt;0,INDIRECT(ADDRESS(BA10,1)),"")</f>
        <v/>
      </c>
      <c r="BC10" t="str">
        <f ca="1">IF(BB10="","",CONCATENATE("""",BB10,""""))</f>
        <v/>
      </c>
      <c r="BD10" t="str">
        <f ca="1">IF(BC11="",BC10,BC10&amp;",")</f>
        <v/>
      </c>
    </row>
    <row r="11" spans="1:57">
      <c r="A11" t="s">
        <v>184</v>
      </c>
      <c r="B11" t="s">
        <v>164</v>
      </c>
      <c r="C11" t="str">
        <f>C8</f>
        <v>陳本清</v>
      </c>
      <c r="D11" s="6" t="str">
        <f t="shared" ref="D11:D18" si="14">C$11&amp;"之"&amp;B11</f>
        <v>陳本清之長子</v>
      </c>
      <c r="E11" s="6" t="s">
        <v>185</v>
      </c>
      <c r="F11" s="9">
        <v>23339</v>
      </c>
      <c r="G11" s="6" t="str">
        <f t="shared" ref="G11:G18" si="15">TEXT(F11,"[$-130000]YYYY年M月D日")</f>
        <v>1963年11月9日</v>
      </c>
      <c r="H11" s="8" t="str">
        <f t="shared" si="3"/>
        <v>免</v>
      </c>
      <c r="I11" s="6" t="str">
        <f>INDEX({"山羊座","射手座","天蝎座","天秤座","处女座","狮子座","巨蟹座","双子座","金牛座","白羊座","双鱼座","水瓶座","山羊座"},MATCH(DATE(,MONTH(F11),DAY(F11)),{366,356,327,297,267,236,204,173,142,111,80,49,20},-1))</f>
        <v>射手座</v>
      </c>
      <c r="J11" s="6"/>
      <c r="K11" s="6"/>
      <c r="L11" s="6"/>
      <c r="M11" s="6"/>
      <c r="N11" s="6"/>
      <c r="P11" t="str">
        <f t="shared" si="1"/>
        <v>["b121"]</v>
      </c>
      <c r="Q11" t="str">
        <f t="shared" si="4"/>
        <v>b121</v>
      </c>
      <c r="R11" s="6" t="str">
        <f t="shared" si="2"/>
        <v>陳致彤</v>
      </c>
      <c r="S11" s="13" t="s">
        <v>186</v>
      </c>
      <c r="T11" s="2">
        <f t="shared" si="5"/>
        <v>23339</v>
      </c>
      <c r="U11" s="15" t="str">
        <f t="shared" si="6"/>
        <v>1963</v>
      </c>
      <c r="V11" s="15" t="str">
        <f t="shared" si="7"/>
        <v>11</v>
      </c>
      <c r="W11" s="15" t="str">
        <f t="shared" si="8"/>
        <v>24</v>
      </c>
      <c r="X11" t="s">
        <v>33</v>
      </c>
      <c r="Y11" s="2" t="str">
        <f t="shared" si="9"/>
        <v/>
      </c>
      <c r="Z11" s="15" t="str">
        <f t="shared" si="10"/>
        <v/>
      </c>
      <c r="AA11" s="15" t="str">
        <f t="shared" si="11"/>
        <v/>
      </c>
      <c r="AB11" s="15" t="str">
        <f t="shared" si="12"/>
        <v/>
      </c>
      <c r="AC11" t="s">
        <v>33</v>
      </c>
      <c r="AD11">
        <f t="shared" si="13"/>
        <v>0</v>
      </c>
      <c r="AE11" s="17" t="str">
        <f t="shared" si="0"/>
        <v/>
      </c>
      <c r="AP11" t="str">
        <f>+P12</f>
        <v>["b122"]</v>
      </c>
      <c r="AQ11" t="s">
        <v>398</v>
      </c>
      <c r="AR11" t="s">
        <v>359</v>
      </c>
      <c r="BC11" t="str">
        <f>IF(BB11="","",CONCATENATE("""",BB11,""""))</f>
        <v/>
      </c>
      <c r="BD11" t="str">
        <f>IF(AY13="",BC11,BC11&amp;",")</f>
        <v/>
      </c>
    </row>
    <row r="12" spans="1:57">
      <c r="A12" t="s">
        <v>187</v>
      </c>
      <c r="B12" t="s">
        <v>169</v>
      </c>
      <c r="D12" s="6" t="str">
        <f t="shared" si="14"/>
        <v>陳本清之長媳</v>
      </c>
      <c r="E12" s="6" t="s">
        <v>188</v>
      </c>
      <c r="F12" s="9">
        <v>24403</v>
      </c>
      <c r="G12" s="6" t="str">
        <f t="shared" si="15"/>
        <v>1966年10月10日</v>
      </c>
      <c r="H12" s="8" t="str">
        <f t="shared" si="3"/>
        <v>马</v>
      </c>
      <c r="I12" s="6" t="str">
        <f>INDEX({"山羊座","射手座","天蝎座","天秤座","处女座","狮子座","巨蟹座","双子座","金牛座","牧羊座","双鱼座","水瓶座","山羊座"},MATCH(DATE(,MONTH(F12),DAY(F12)),{366,356,327,297,267,236,204,173,142,111,80,49,20},-1))</f>
        <v>天秤座</v>
      </c>
      <c r="J12" s="6"/>
      <c r="K12" s="6"/>
      <c r="L12" s="6"/>
      <c r="M12" s="6"/>
      <c r="N12" s="6"/>
      <c r="P12" t="str">
        <f t="shared" si="1"/>
        <v>["b122"]</v>
      </c>
      <c r="Q12" t="str">
        <f t="shared" si="4"/>
        <v>b122</v>
      </c>
      <c r="R12" s="6" t="str">
        <f t="shared" si="2"/>
        <v>趙瑋</v>
      </c>
      <c r="S12" s="13" t="s">
        <v>189</v>
      </c>
      <c r="T12" s="2">
        <f t="shared" si="5"/>
        <v>24403</v>
      </c>
      <c r="U12" s="15" t="str">
        <f t="shared" si="6"/>
        <v>1966</v>
      </c>
      <c r="V12" s="15" t="str">
        <f t="shared" si="7"/>
        <v>10</v>
      </c>
      <c r="W12" s="15" t="str">
        <f t="shared" si="8"/>
        <v>23</v>
      </c>
      <c r="X12" t="s">
        <v>33</v>
      </c>
      <c r="Y12" s="2" t="str">
        <f t="shared" si="9"/>
        <v/>
      </c>
      <c r="Z12" s="15" t="str">
        <f t="shared" si="10"/>
        <v/>
      </c>
      <c r="AA12" s="15" t="str">
        <f t="shared" si="11"/>
        <v/>
      </c>
      <c r="AB12" s="15" t="str">
        <f t="shared" si="12"/>
        <v/>
      </c>
      <c r="AC12" t="s">
        <v>33</v>
      </c>
      <c r="AD12">
        <f t="shared" si="13"/>
        <v>0</v>
      </c>
      <c r="AE12" s="17" t="str">
        <f t="shared" si="0"/>
        <v/>
      </c>
      <c r="AP12" t="str">
        <f>+P11</f>
        <v>["b121"]</v>
      </c>
    </row>
    <row r="13" spans="1:57">
      <c r="A13" t="s">
        <v>190</v>
      </c>
      <c r="B13" t="s">
        <v>191</v>
      </c>
      <c r="D13" s="6" t="str">
        <f t="shared" si="14"/>
        <v>陳本清之長孫</v>
      </c>
      <c r="E13" s="6" t="s">
        <v>192</v>
      </c>
      <c r="F13" s="9">
        <v>35512</v>
      </c>
      <c r="G13" s="6" t="str">
        <f t="shared" si="15"/>
        <v>1997年2月15日</v>
      </c>
      <c r="H13" s="8" t="str">
        <f t="shared" si="3"/>
        <v>牛</v>
      </c>
      <c r="I13" s="6" t="str">
        <f>INDEX({"山羊座","射手座","天蝎座","天秤座","处女座","狮子座","巨蟹座","双子座","金牛座","牧羊座","双鱼座","水瓶座","山羊座"},MATCH(DATE(,MONTH(F13),DAY(F13)),{366,356,327,297,267,236,204,173,142,111,80,49,20},-1))</f>
        <v>牧羊座</v>
      </c>
      <c r="J13" s="6"/>
      <c r="K13" s="6"/>
      <c r="L13" s="6"/>
      <c r="M13" s="6"/>
      <c r="N13" s="6"/>
      <c r="P13" t="str">
        <f t="shared" si="1"/>
        <v>["b1211"]</v>
      </c>
      <c r="Q13" t="str">
        <f t="shared" si="4"/>
        <v>b1211</v>
      </c>
      <c r="R13" s="6" t="str">
        <f t="shared" si="2"/>
        <v>陳牧懷</v>
      </c>
      <c r="S13" s="13" t="s">
        <v>186</v>
      </c>
      <c r="T13" s="2">
        <f t="shared" si="5"/>
        <v>35512</v>
      </c>
      <c r="U13" s="15" t="str">
        <f t="shared" si="6"/>
        <v>1997</v>
      </c>
      <c r="V13" s="15" t="str">
        <f t="shared" si="7"/>
        <v>3</v>
      </c>
      <c r="W13" s="15" t="str">
        <f t="shared" si="8"/>
        <v>23</v>
      </c>
      <c r="X13" t="s">
        <v>33</v>
      </c>
      <c r="Y13" s="2" t="str">
        <f t="shared" si="9"/>
        <v/>
      </c>
      <c r="Z13" s="15" t="str">
        <f t="shared" si="10"/>
        <v/>
      </c>
      <c r="AA13" s="15" t="str">
        <f t="shared" si="11"/>
        <v/>
      </c>
      <c r="AB13" s="15" t="str">
        <f t="shared" si="12"/>
        <v/>
      </c>
      <c r="AC13" t="s">
        <v>33</v>
      </c>
      <c r="AD13">
        <f t="shared" si="13"/>
        <v>0</v>
      </c>
      <c r="AE13" s="17" t="str">
        <f t="shared" si="0"/>
        <v/>
      </c>
      <c r="AR13" t="s">
        <v>373</v>
      </c>
      <c r="AY13" t="str">
        <f t="shared" ref="AY9:AY13" si="16">IF(AX13="","",CONCATENATE("""",AX13,""""))</f>
        <v/>
      </c>
      <c r="AZ13" t="str">
        <f t="shared" ref="AZ9:AZ13" si="17">IF(AY14="",AY13,AY13&amp;",")</f>
        <v/>
      </c>
    </row>
    <row r="14" spans="1:57">
      <c r="A14" t="s">
        <v>193</v>
      </c>
      <c r="B14" t="s">
        <v>194</v>
      </c>
      <c r="C14" t="str">
        <f>C11</f>
        <v>陳本清</v>
      </c>
      <c r="D14" s="6" t="str">
        <f t="shared" si="14"/>
        <v>陳本清之次子</v>
      </c>
      <c r="E14" s="6" t="s">
        <v>195</v>
      </c>
      <c r="F14" s="9">
        <v>25194</v>
      </c>
      <c r="G14" s="12">
        <v>25145</v>
      </c>
      <c r="H14" s="8" t="str">
        <f t="shared" si="3"/>
        <v>猴</v>
      </c>
      <c r="I14" s="6" t="str">
        <f>INDEX({"山羊座","射手座","天蝎座","天秤座","处女座","狮子座","巨蟹座","双子座","金牛座","牧羊座","双鱼座","水瓶座","山羊座"},MATCH(DATE(,MONTH(F14),DAY(F14)),{366,356,327,297,267,236,204,173,142,111,80,49,20},-1))</f>
        <v>山羊座</v>
      </c>
      <c r="J14" s="6"/>
      <c r="K14" s="6"/>
      <c r="L14" s="11" t="s">
        <v>196</v>
      </c>
      <c r="M14" s="6"/>
      <c r="N14" s="6"/>
      <c r="P14" t="str">
        <f t="shared" si="1"/>
        <v>["b131"]</v>
      </c>
      <c r="Q14" t="str">
        <f t="shared" si="4"/>
        <v>b131</v>
      </c>
      <c r="R14" s="6" t="str">
        <f t="shared" si="2"/>
        <v>陳致彣</v>
      </c>
      <c r="S14" s="13" t="s">
        <v>186</v>
      </c>
      <c r="T14" s="2">
        <f t="shared" si="5"/>
        <v>25194</v>
      </c>
      <c r="U14" s="15" t="str">
        <f t="shared" si="6"/>
        <v>1968</v>
      </c>
      <c r="V14" s="15" t="str">
        <f t="shared" si="7"/>
        <v>12</v>
      </c>
      <c r="W14" s="15" t="str">
        <f t="shared" si="8"/>
        <v>22</v>
      </c>
      <c r="X14" t="s">
        <v>33</v>
      </c>
      <c r="Y14" s="2" t="str">
        <f t="shared" si="9"/>
        <v/>
      </c>
      <c r="Z14" s="15" t="str">
        <f t="shared" si="10"/>
        <v/>
      </c>
      <c r="AA14" s="15" t="str">
        <f t="shared" si="11"/>
        <v/>
      </c>
      <c r="AB14" s="15" t="str">
        <f t="shared" si="12"/>
        <v/>
      </c>
      <c r="AC14" t="s">
        <v>33</v>
      </c>
      <c r="AD14">
        <f t="shared" si="13"/>
        <v>0</v>
      </c>
      <c r="AE14" s="17" t="str">
        <f t="shared" si="0"/>
        <v>150-0125-3745</v>
      </c>
      <c r="AP14" t="str">
        <f>+P15</f>
        <v>["b132"]</v>
      </c>
      <c r="AQ14" t="s">
        <v>399</v>
      </c>
      <c r="AR14" t="s">
        <v>359</v>
      </c>
    </row>
    <row r="15" spans="1:57">
      <c r="A15" t="s">
        <v>197</v>
      </c>
      <c r="B15" t="s">
        <v>198</v>
      </c>
      <c r="D15" s="6" t="str">
        <f t="shared" si="14"/>
        <v>陳本清之次媳</v>
      </c>
      <c r="E15" s="6" t="s">
        <v>199</v>
      </c>
      <c r="F15" s="9">
        <v>27717</v>
      </c>
      <c r="G15" s="6" t="str">
        <f t="shared" si="15"/>
        <v>1975年10月17日</v>
      </c>
      <c r="H15" s="8" t="str">
        <f t="shared" si="3"/>
        <v>免</v>
      </c>
      <c r="I15" s="6" t="str">
        <f>INDEX({"山羊座","射手座","天蝎座","天秤座","处女座","狮子座","巨蟹座","双子座","金牛座","牧羊座","双鱼座","水瓶座","山羊座"},MATCH(DATE(,MONTH(F15),DAY(F15)),{366,356,327,297,267,236,204,173,142,111,80,49,20},-1))</f>
        <v>天蝎座</v>
      </c>
      <c r="J15" s="6"/>
      <c r="K15" s="6"/>
      <c r="L15" s="11" t="s">
        <v>200</v>
      </c>
      <c r="M15" s="6"/>
      <c r="N15" s="6"/>
      <c r="P15" t="str">
        <f t="shared" si="1"/>
        <v>["b132"]</v>
      </c>
      <c r="Q15" t="str">
        <f t="shared" si="4"/>
        <v>b132</v>
      </c>
      <c r="R15" s="6" t="str">
        <f t="shared" si="2"/>
        <v>孫亞男</v>
      </c>
      <c r="S15" s="13" t="s">
        <v>189</v>
      </c>
      <c r="T15" s="2">
        <f t="shared" si="5"/>
        <v>27717</v>
      </c>
      <c r="U15" s="15" t="str">
        <f t="shared" si="6"/>
        <v>1975</v>
      </c>
      <c r="V15" s="15" t="str">
        <f t="shared" si="7"/>
        <v>11</v>
      </c>
      <c r="W15" s="15" t="str">
        <f t="shared" si="8"/>
        <v>19</v>
      </c>
      <c r="X15" t="s">
        <v>33</v>
      </c>
      <c r="Y15" s="2" t="str">
        <f t="shared" si="9"/>
        <v/>
      </c>
      <c r="Z15" s="15" t="str">
        <f t="shared" si="10"/>
        <v/>
      </c>
      <c r="AA15" s="15" t="str">
        <f t="shared" si="11"/>
        <v/>
      </c>
      <c r="AB15" s="15" t="str">
        <f t="shared" si="12"/>
        <v/>
      </c>
      <c r="AC15" t="s">
        <v>33</v>
      </c>
      <c r="AD15">
        <f t="shared" si="13"/>
        <v>0</v>
      </c>
      <c r="AE15" s="17" t="str">
        <f t="shared" si="0"/>
        <v>137-0599-0795</v>
      </c>
      <c r="AP15" t="str">
        <f>+P14</f>
        <v>["b131"]</v>
      </c>
    </row>
    <row r="16" spans="1:57">
      <c r="A16" t="s">
        <v>201</v>
      </c>
      <c r="B16" t="s">
        <v>202</v>
      </c>
      <c r="D16" s="6" t="str">
        <f t="shared" si="14"/>
        <v>陳本清之次孫</v>
      </c>
      <c r="E16" s="6" t="s">
        <v>203</v>
      </c>
      <c r="F16" s="9">
        <v>36413</v>
      </c>
      <c r="G16" s="6" t="str">
        <f t="shared" si="15"/>
        <v>1999年8月1日</v>
      </c>
      <c r="H16" s="8" t="str">
        <f t="shared" si="3"/>
        <v>免</v>
      </c>
      <c r="I16" s="6" t="str">
        <f>INDEX({"山羊座","射手座","天蝎座","天秤座","处女座","狮子座","巨蟹座","双子座","金牛座","牧羊座","双鱼座","水瓶座","山羊座"},MATCH(DATE(,MONTH(F16),DAY(F16)),{366,356,327,297,267,236,204,173,142,111,80,49,20},-1))</f>
        <v>处女座</v>
      </c>
      <c r="J16" s="6"/>
      <c r="K16" s="6"/>
      <c r="L16" s="11" t="s">
        <v>204</v>
      </c>
      <c r="M16" s="6"/>
      <c r="N16" s="6" t="s">
        <v>205</v>
      </c>
      <c r="P16" t="str">
        <f t="shared" si="1"/>
        <v>["b1311"]</v>
      </c>
      <c r="Q16" t="str">
        <f t="shared" si="4"/>
        <v>b1311</v>
      </c>
      <c r="R16" s="6" t="str">
        <f t="shared" si="2"/>
        <v>陳恩</v>
      </c>
      <c r="S16" s="13" t="s">
        <v>186</v>
      </c>
      <c r="T16" s="2">
        <f t="shared" si="5"/>
        <v>36413</v>
      </c>
      <c r="U16" s="15" t="str">
        <f t="shared" si="6"/>
        <v>1999</v>
      </c>
      <c r="V16" s="15" t="str">
        <f t="shared" si="7"/>
        <v>9</v>
      </c>
      <c r="W16" s="15" t="str">
        <f t="shared" si="8"/>
        <v>10</v>
      </c>
      <c r="X16" t="s">
        <v>33</v>
      </c>
      <c r="Y16" s="2" t="str">
        <f t="shared" si="9"/>
        <v/>
      </c>
      <c r="Z16" s="15" t="str">
        <f t="shared" si="10"/>
        <v/>
      </c>
      <c r="AA16" s="15" t="str">
        <f t="shared" si="11"/>
        <v/>
      </c>
      <c r="AB16" s="15" t="str">
        <f t="shared" si="12"/>
        <v/>
      </c>
      <c r="AC16" t="s">
        <v>33</v>
      </c>
      <c r="AD16">
        <f t="shared" si="13"/>
        <v>0</v>
      </c>
      <c r="AE16" s="17" t="str">
        <f t="shared" si="0"/>
        <v>+886-968695533</v>
      </c>
      <c r="AR16" t="s">
        <v>376</v>
      </c>
    </row>
    <row r="17" spans="1:45">
      <c r="A17" t="s">
        <v>206</v>
      </c>
      <c r="B17" t="s">
        <v>207</v>
      </c>
      <c r="D17" s="6" t="str">
        <f t="shared" si="14"/>
        <v>陳本清之孫女</v>
      </c>
      <c r="E17" s="6" t="s">
        <v>208</v>
      </c>
      <c r="F17" s="9">
        <v>37446</v>
      </c>
      <c r="G17" s="6" t="str">
        <f t="shared" si="15"/>
        <v>2002年5月29日</v>
      </c>
      <c r="H17" s="8" t="str">
        <f t="shared" si="3"/>
        <v>马</v>
      </c>
      <c r="I17" s="6" t="str">
        <f>INDEX({"山羊座","射手座","天蝎座","天秤座","处女座","狮子座","巨蟹座","双子座","金牛座","牧羊座","双鱼座","水瓶座","山羊座"},MATCH(DATE(,MONTH(F17),DAY(F17)),{366,356,327,297,267,236,204,173,142,111,80,49,20},-1))</f>
        <v>巨蟹座</v>
      </c>
      <c r="J17" s="6"/>
      <c r="K17" s="6"/>
      <c r="L17" s="11" t="s">
        <v>209</v>
      </c>
      <c r="M17" s="6"/>
      <c r="N17" s="6" t="s">
        <v>205</v>
      </c>
      <c r="P17" t="str">
        <f t="shared" si="1"/>
        <v>["b1312"]</v>
      </c>
      <c r="Q17" t="str">
        <f t="shared" si="4"/>
        <v>b1312</v>
      </c>
      <c r="R17" s="6" t="str">
        <f t="shared" si="2"/>
        <v>陳惠</v>
      </c>
      <c r="S17" s="13" t="s">
        <v>189</v>
      </c>
      <c r="T17" s="2">
        <f t="shared" si="5"/>
        <v>37446</v>
      </c>
      <c r="U17" s="15" t="str">
        <f t="shared" si="6"/>
        <v>2002</v>
      </c>
      <c r="V17" s="15" t="str">
        <f t="shared" si="7"/>
        <v>7</v>
      </c>
      <c r="W17" s="15" t="str">
        <f t="shared" si="8"/>
        <v>9</v>
      </c>
      <c r="X17" t="s">
        <v>33</v>
      </c>
      <c r="Y17" s="2" t="str">
        <f t="shared" si="9"/>
        <v/>
      </c>
      <c r="Z17" s="15" t="str">
        <f t="shared" si="10"/>
        <v/>
      </c>
      <c r="AA17" s="15" t="str">
        <f t="shared" si="11"/>
        <v/>
      </c>
      <c r="AB17" s="15" t="str">
        <f t="shared" si="12"/>
        <v/>
      </c>
      <c r="AC17" t="s">
        <v>33</v>
      </c>
      <c r="AD17">
        <f t="shared" si="13"/>
        <v>0</v>
      </c>
      <c r="AE17" s="17" t="str">
        <f t="shared" si="0"/>
        <v>+886-935303921</v>
      </c>
      <c r="AR17" t="s">
        <v>376</v>
      </c>
    </row>
    <row r="18" spans="1:45">
      <c r="A18" t="s">
        <v>210</v>
      </c>
      <c r="B18" t="s">
        <v>207</v>
      </c>
      <c r="D18" s="6" t="str">
        <f t="shared" si="14"/>
        <v>陳本清之孫女</v>
      </c>
      <c r="E18" s="6" t="s">
        <v>211</v>
      </c>
      <c r="F18" s="9">
        <v>41052</v>
      </c>
      <c r="G18" s="6" t="str">
        <f t="shared" si="15"/>
        <v>2012年5月3日</v>
      </c>
      <c r="H18" s="8" t="str">
        <f t="shared" si="3"/>
        <v>龙</v>
      </c>
      <c r="I18" s="6" t="str">
        <f>INDEX({"山羊座","射手座","天蝎座","天秤座","处女座","狮子座","巨蟹座","双子座","金牛座","牧羊座","双鱼座","水瓶座","山羊座"},MATCH(DATE(,MONTH(F18),DAY(F18)),{366,356,327,297,267,236,204,173,142,111,80,49,20},-1))</f>
        <v>双子座</v>
      </c>
      <c r="J18" s="6"/>
      <c r="K18" s="6"/>
      <c r="L18" s="11" t="s">
        <v>212</v>
      </c>
      <c r="M18" s="6"/>
      <c r="N18" s="6"/>
      <c r="P18" t="str">
        <f t="shared" si="1"/>
        <v>["b1313"]</v>
      </c>
      <c r="Q18" t="str">
        <f t="shared" si="4"/>
        <v>b1313</v>
      </c>
      <c r="R18" s="6" t="str">
        <f t="shared" si="2"/>
        <v>陳瑄</v>
      </c>
      <c r="S18" s="13" t="s">
        <v>189</v>
      </c>
      <c r="T18" s="2">
        <f t="shared" si="5"/>
        <v>41052</v>
      </c>
      <c r="U18" s="15" t="str">
        <f t="shared" si="6"/>
        <v>2012</v>
      </c>
      <c r="V18" s="15" t="str">
        <f t="shared" si="7"/>
        <v>5</v>
      </c>
      <c r="W18" s="15" t="str">
        <f t="shared" si="8"/>
        <v>23</v>
      </c>
      <c r="X18" t="s">
        <v>33</v>
      </c>
      <c r="Y18" s="2" t="str">
        <f t="shared" si="9"/>
        <v/>
      </c>
      <c r="Z18" s="15" t="str">
        <f t="shared" si="10"/>
        <v/>
      </c>
      <c r="AA18" s="15" t="str">
        <f t="shared" si="11"/>
        <v/>
      </c>
      <c r="AB18" s="15" t="str">
        <f t="shared" si="12"/>
        <v/>
      </c>
      <c r="AC18" t="s">
        <v>33</v>
      </c>
      <c r="AD18">
        <f t="shared" si="13"/>
        <v>0</v>
      </c>
      <c r="AE18" s="17" t="str">
        <f t="shared" si="0"/>
        <v>136-7501-8716</v>
      </c>
      <c r="AR18" t="s">
        <v>374</v>
      </c>
    </row>
    <row r="19" spans="1:45">
      <c r="A19" t="s">
        <v>213</v>
      </c>
      <c r="B19" t="s">
        <v>214</v>
      </c>
      <c r="C19" t="s">
        <v>154</v>
      </c>
      <c r="D19" s="6" t="str">
        <f>C$19&amp;"之"&amp;B19</f>
        <v>陈森铨之长女</v>
      </c>
      <c r="E19" s="6" t="s">
        <v>215</v>
      </c>
      <c r="F19" s="14">
        <v>10349</v>
      </c>
      <c r="G19" s="6" t="str">
        <f t="shared" ref="G19:G26" si="18">TEXT(F19,"[$-130000]YYYY年M月D日")</f>
        <v>1928年3月28日</v>
      </c>
      <c r="H19" s="8" t="str">
        <f t="shared" ref="H19:H26" si="19">MID("猴鸡狗猪鼠牛虎免龙蛇马羊",MOD(YEAR(F19),12)+1,1)</f>
        <v>龙</v>
      </c>
      <c r="I19" s="6" t="str">
        <f>INDEX({"山羊座","射手座","天蝎座","天秤座","处女座","狮子座","巨蟹座","双子座","金牛座","牧羊座","双鱼座","水瓶座","山羊座"},MATCH(DATE(,MONTH(F19),DAY(F19)),{366,356,327,297,267,236,204,173,142,111,80,49,20},-1))</f>
        <v>金牛座</v>
      </c>
      <c r="J19" s="6"/>
      <c r="K19" s="6"/>
      <c r="L19" s="6"/>
      <c r="M19" s="6"/>
      <c r="N19" s="6"/>
      <c r="P19" t="str">
        <f t="shared" si="1"/>
        <v>["b21"]</v>
      </c>
      <c r="Q19" t="str">
        <f t="shared" si="4"/>
        <v>b21</v>
      </c>
      <c r="R19" s="6" t="str">
        <f t="shared" si="2"/>
        <v>陈岩</v>
      </c>
      <c r="S19" s="13" t="s">
        <v>351</v>
      </c>
      <c r="T19" s="2">
        <f t="shared" si="5"/>
        <v>10349</v>
      </c>
      <c r="U19" s="15" t="str">
        <f t="shared" si="6"/>
        <v>1928</v>
      </c>
      <c r="V19" s="15" t="str">
        <f t="shared" si="7"/>
        <v>5</v>
      </c>
      <c r="W19" s="15" t="str">
        <f t="shared" si="8"/>
        <v>1</v>
      </c>
      <c r="X19" t="s">
        <v>33</v>
      </c>
      <c r="Y19" s="2" t="str">
        <f t="shared" si="9"/>
        <v/>
      </c>
      <c r="Z19" s="15" t="str">
        <f t="shared" si="10"/>
        <v/>
      </c>
      <c r="AA19" s="15" t="str">
        <f t="shared" si="11"/>
        <v/>
      </c>
      <c r="AB19" s="15" t="str">
        <f t="shared" si="12"/>
        <v/>
      </c>
      <c r="AC19" t="s">
        <v>33</v>
      </c>
      <c r="AD19">
        <f t="shared" si="13"/>
        <v>0</v>
      </c>
      <c r="AE19" s="17" t="str">
        <f t="shared" si="0"/>
        <v/>
      </c>
      <c r="AP19" t="str">
        <f>+P20</f>
        <v>["b22"]</v>
      </c>
      <c r="AQ19" t="s">
        <v>400</v>
      </c>
    </row>
    <row r="20" spans="1:45">
      <c r="A20" t="s">
        <v>216</v>
      </c>
      <c r="B20" t="s">
        <v>177</v>
      </c>
      <c r="D20" s="6" t="str">
        <f>C$19&amp;"之"&amp;B20</f>
        <v>陈森铨之女婿</v>
      </c>
      <c r="E20" s="6" t="s">
        <v>217</v>
      </c>
      <c r="F20" s="14">
        <v>9406</v>
      </c>
      <c r="G20" s="6" t="str">
        <f t="shared" si="18"/>
        <v>1925年8月30日</v>
      </c>
      <c r="H20" s="8" t="str">
        <f t="shared" si="19"/>
        <v>牛</v>
      </c>
      <c r="I20" s="6" t="str">
        <f>INDEX({"山羊座","射手座","天蝎座","天秤座","处女座","狮子座","巨蟹座","双子座","金牛座","牧羊座","双鱼座","水瓶座","山羊座"},MATCH(DATE(,MONTH(F20),DAY(F20)),{366,356,327,297,267,236,204,173,142,111,80,49,20},-1))</f>
        <v>天秤座</v>
      </c>
      <c r="J20" s="6"/>
      <c r="K20" s="6"/>
      <c r="L20" s="6"/>
      <c r="M20" s="6"/>
      <c r="N20" s="6"/>
      <c r="P20" t="str">
        <f t="shared" si="1"/>
        <v>["b22"]</v>
      </c>
      <c r="Q20" t="str">
        <f t="shared" si="4"/>
        <v>b22</v>
      </c>
      <c r="R20" s="6" t="str">
        <f t="shared" si="2"/>
        <v>孙作清</v>
      </c>
      <c r="S20" s="13" t="s">
        <v>352</v>
      </c>
      <c r="T20" s="2">
        <f t="shared" si="5"/>
        <v>9406</v>
      </c>
      <c r="U20" s="15" t="str">
        <f t="shared" si="6"/>
        <v>1925</v>
      </c>
      <c r="V20" s="15" t="str">
        <f t="shared" si="7"/>
        <v>10</v>
      </c>
      <c r="W20" s="15" t="str">
        <f t="shared" si="8"/>
        <v>1</v>
      </c>
      <c r="X20" t="s">
        <v>33</v>
      </c>
      <c r="Y20" s="2" t="str">
        <f t="shared" si="9"/>
        <v/>
      </c>
      <c r="Z20" s="15" t="str">
        <f t="shared" si="10"/>
        <v/>
      </c>
      <c r="AA20" s="15" t="str">
        <f t="shared" si="11"/>
        <v/>
      </c>
      <c r="AB20" s="15" t="str">
        <f t="shared" si="12"/>
        <v/>
      </c>
      <c r="AC20" t="s">
        <v>33</v>
      </c>
      <c r="AD20">
        <f t="shared" si="13"/>
        <v>0</v>
      </c>
      <c r="AE20" s="17" t="str">
        <f t="shared" si="0"/>
        <v/>
      </c>
      <c r="AP20" t="str">
        <f>+P19</f>
        <v>["b21"]</v>
      </c>
    </row>
    <row r="21" spans="1:45">
      <c r="A21" t="s">
        <v>218</v>
      </c>
      <c r="B21" t="s">
        <v>214</v>
      </c>
      <c r="C21" t="s">
        <v>215</v>
      </c>
      <c r="D21" s="6" t="str">
        <f>C$21&amp;"之"&amp;B21</f>
        <v>陈岩之长女</v>
      </c>
      <c r="E21" s="6" t="s">
        <v>219</v>
      </c>
      <c r="F21" s="14">
        <v>22951</v>
      </c>
      <c r="G21" s="6" t="str">
        <f t="shared" si="18"/>
        <v>1962年10月5日</v>
      </c>
      <c r="H21" s="8" t="str">
        <f t="shared" si="19"/>
        <v>虎</v>
      </c>
      <c r="I21" s="6" t="str">
        <f>INDEX({"山羊座","射手座","天蝎座","天秤座","处女座","狮子座","巨蟹座","双子座","金牛座","牧羊座","双鱼座","水瓶座","山羊座"},MATCH(DATE(,MONTH(F21),DAY(F21)),{366,356,327,297,267,236,204,173,142,111,80,49,20},-1))</f>
        <v>天蝎座</v>
      </c>
      <c r="J21" s="6"/>
      <c r="K21" s="6"/>
      <c r="L21" s="11" t="s">
        <v>220</v>
      </c>
      <c r="M21" s="6"/>
      <c r="N21" s="6"/>
      <c r="P21" t="str">
        <f t="shared" si="1"/>
        <v>["b211"]</v>
      </c>
      <c r="Q21" t="str">
        <f t="shared" si="4"/>
        <v>b211</v>
      </c>
      <c r="R21" s="6" t="str">
        <f t="shared" si="2"/>
        <v>陈晓岩</v>
      </c>
      <c r="S21" s="13" t="s">
        <v>351</v>
      </c>
      <c r="T21" s="2">
        <f t="shared" si="5"/>
        <v>22951</v>
      </c>
      <c r="U21" s="15" t="str">
        <f t="shared" si="6"/>
        <v>1962</v>
      </c>
      <c r="V21" s="15" t="str">
        <f t="shared" si="7"/>
        <v>11</v>
      </c>
      <c r="W21" s="15" t="str">
        <f t="shared" si="8"/>
        <v>1</v>
      </c>
      <c r="X21" t="s">
        <v>33</v>
      </c>
      <c r="Y21" s="2" t="str">
        <f t="shared" si="9"/>
        <v/>
      </c>
      <c r="Z21" s="15" t="str">
        <f t="shared" si="10"/>
        <v/>
      </c>
      <c r="AA21" s="15" t="str">
        <f t="shared" si="11"/>
        <v/>
      </c>
      <c r="AB21" s="15" t="str">
        <f t="shared" si="12"/>
        <v/>
      </c>
      <c r="AC21" t="s">
        <v>33</v>
      </c>
      <c r="AD21">
        <f t="shared" si="13"/>
        <v>0</v>
      </c>
      <c r="AE21" s="17" t="str">
        <f t="shared" si="0"/>
        <v>177-7332-6128</v>
      </c>
      <c r="AP21" t="str">
        <f>+P22</f>
        <v>["b212"]</v>
      </c>
      <c r="AQ21" t="s">
        <v>401</v>
      </c>
      <c r="AR21" t="s">
        <v>360</v>
      </c>
    </row>
    <row r="22" spans="1:45">
      <c r="A22" t="s">
        <v>221</v>
      </c>
      <c r="B22" t="s">
        <v>177</v>
      </c>
      <c r="D22" s="6" t="str">
        <f>C$21&amp;"之"&amp;B22</f>
        <v>陈岩之女婿</v>
      </c>
      <c r="E22" s="6" t="s">
        <v>222</v>
      </c>
      <c r="F22" s="14">
        <v>22433</v>
      </c>
      <c r="G22" s="6" t="str">
        <f t="shared" si="18"/>
        <v>1961年4月18日</v>
      </c>
      <c r="H22" s="8" t="str">
        <f t="shared" si="19"/>
        <v>牛</v>
      </c>
      <c r="I22" s="6" t="str">
        <f>INDEX({"山羊座","射手座","天蝎座","天秤座","处女座","狮子座","巨蟹座","双子座","金牛座","牧羊座","双鱼座","水瓶座","山羊座"},MATCH(DATE(,MONTH(F22),DAY(F22)),{366,356,327,297,267,236,204,173,142,111,80,49,20},-1))</f>
        <v>双子座</v>
      </c>
      <c r="J22" s="6"/>
      <c r="K22" s="6"/>
      <c r="L22" s="6"/>
      <c r="M22" s="6"/>
      <c r="N22" s="6"/>
      <c r="P22" t="str">
        <f t="shared" si="1"/>
        <v>["b212"]</v>
      </c>
      <c r="Q22" t="str">
        <f t="shared" si="4"/>
        <v>b212</v>
      </c>
      <c r="R22" s="6" t="str">
        <f t="shared" si="2"/>
        <v>夏海纯</v>
      </c>
      <c r="S22" s="13" t="s">
        <v>352</v>
      </c>
      <c r="T22" s="2">
        <f t="shared" si="5"/>
        <v>22433</v>
      </c>
      <c r="U22" s="15" t="str">
        <f t="shared" si="6"/>
        <v>1961</v>
      </c>
      <c r="V22" s="15" t="str">
        <f t="shared" si="7"/>
        <v>6</v>
      </c>
      <c r="W22" s="15" t="str">
        <f t="shared" si="8"/>
        <v>1</v>
      </c>
      <c r="X22" t="s">
        <v>33</v>
      </c>
      <c r="Y22" s="2" t="str">
        <f t="shared" si="9"/>
        <v/>
      </c>
      <c r="Z22" s="15" t="str">
        <f t="shared" si="10"/>
        <v/>
      </c>
      <c r="AA22" s="15" t="str">
        <f t="shared" si="11"/>
        <v/>
      </c>
      <c r="AB22" s="15" t="str">
        <f t="shared" si="12"/>
        <v/>
      </c>
      <c r="AC22" t="s">
        <v>33</v>
      </c>
      <c r="AD22">
        <f t="shared" si="13"/>
        <v>0</v>
      </c>
      <c r="AE22" s="17" t="str">
        <f t="shared" si="0"/>
        <v/>
      </c>
      <c r="AP22" t="str">
        <f>+P21</f>
        <v>["b211"]</v>
      </c>
    </row>
    <row r="23" spans="1:45">
      <c r="A23" t="s">
        <v>223</v>
      </c>
      <c r="B23" t="s">
        <v>224</v>
      </c>
      <c r="D23" s="6" t="str">
        <f>C$21&amp;"之"&amp;B23</f>
        <v>陈岩之外孙</v>
      </c>
      <c r="E23" s="6" t="s">
        <v>225</v>
      </c>
      <c r="F23" s="14">
        <v>32568</v>
      </c>
      <c r="G23" s="6" t="str">
        <f t="shared" si="18"/>
        <v>1989年1月24日</v>
      </c>
      <c r="H23" s="8" t="str">
        <f t="shared" si="19"/>
        <v>蛇</v>
      </c>
      <c r="I23" s="6" t="str">
        <f>INDEX({"山羊座","射手座","天蝎座","天秤座","处女座","狮子座","巨蟹座","双子座","金牛座","牧羊座","双鱼座","水瓶座","山羊座"},MATCH(DATE(,MONTH(F23),DAY(F23)),{366,356,327,297,267,236,204,173,142,111,80,49,20},-1))</f>
        <v>双鱼座</v>
      </c>
      <c r="J23" s="6"/>
      <c r="K23" s="6"/>
      <c r="L23" s="6"/>
      <c r="M23" s="6"/>
      <c r="N23" s="6"/>
      <c r="P23" t="str">
        <f t="shared" si="1"/>
        <v>["b2111"]</v>
      </c>
      <c r="Q23" t="str">
        <f t="shared" si="4"/>
        <v>b2111</v>
      </c>
      <c r="R23" s="6" t="str">
        <f t="shared" si="2"/>
        <v>夏雨滋</v>
      </c>
      <c r="S23" s="13" t="s">
        <v>352</v>
      </c>
      <c r="T23" s="2">
        <f t="shared" si="5"/>
        <v>32568</v>
      </c>
      <c r="U23" s="15" t="str">
        <f t="shared" si="6"/>
        <v>1989</v>
      </c>
      <c r="V23" s="15" t="str">
        <f t="shared" si="7"/>
        <v>3</v>
      </c>
      <c r="W23" s="15" t="str">
        <f t="shared" si="8"/>
        <v>1</v>
      </c>
      <c r="X23" t="s">
        <v>33</v>
      </c>
      <c r="Y23" s="2" t="str">
        <f t="shared" si="9"/>
        <v/>
      </c>
      <c r="Z23" s="15" t="str">
        <f t="shared" si="10"/>
        <v/>
      </c>
      <c r="AA23" s="15" t="str">
        <f t="shared" si="11"/>
        <v/>
      </c>
      <c r="AB23" s="15" t="str">
        <f t="shared" si="12"/>
        <v/>
      </c>
      <c r="AC23" t="s">
        <v>33</v>
      </c>
      <c r="AD23">
        <f t="shared" si="13"/>
        <v>0</v>
      </c>
      <c r="AE23" s="17" t="str">
        <f t="shared" si="0"/>
        <v/>
      </c>
      <c r="AR23" t="s">
        <v>385</v>
      </c>
    </row>
    <row r="24" spans="1:45">
      <c r="A24" t="s">
        <v>226</v>
      </c>
      <c r="B24" t="s">
        <v>227</v>
      </c>
      <c r="C24" t="s">
        <v>215</v>
      </c>
      <c r="D24" s="6" t="str">
        <f>C$24&amp;"之"&amp;B24</f>
        <v>陈岩之长子</v>
      </c>
      <c r="E24" s="6" t="s">
        <v>228</v>
      </c>
      <c r="F24" s="14">
        <v>24929</v>
      </c>
      <c r="G24" s="6" t="str">
        <f t="shared" si="18"/>
        <v>1968年3月4日</v>
      </c>
      <c r="H24" s="8" t="str">
        <f t="shared" si="19"/>
        <v>猴</v>
      </c>
      <c r="I24" s="6" t="str">
        <f>INDEX({"山羊座","射手座","天蝎座","天秤座","处女座","狮子座","巨蟹座","双子座","金牛座","牧羊座","双鱼座","水瓶座","山羊座"},MATCH(DATE(,MONTH(F24),DAY(F24)),{366,356,327,297,267,236,204,173,142,111,80,49,20},-1))</f>
        <v>牧羊座</v>
      </c>
      <c r="J24" s="6"/>
      <c r="K24" s="6"/>
      <c r="L24" s="6"/>
      <c r="M24" s="6"/>
      <c r="N24" s="6"/>
      <c r="P24" t="str">
        <f t="shared" si="1"/>
        <v>["b221"]</v>
      </c>
      <c r="Q24" t="str">
        <f t="shared" si="4"/>
        <v>b221</v>
      </c>
      <c r="R24" s="6" t="str">
        <f t="shared" si="2"/>
        <v>孙武</v>
      </c>
      <c r="S24" s="13" t="s">
        <v>352</v>
      </c>
      <c r="T24" s="2">
        <f t="shared" si="5"/>
        <v>24929</v>
      </c>
      <c r="U24" s="15" t="str">
        <f t="shared" si="6"/>
        <v>1968</v>
      </c>
      <c r="V24" s="15" t="str">
        <f t="shared" si="7"/>
        <v>4</v>
      </c>
      <c r="W24" s="15" t="str">
        <f t="shared" si="8"/>
        <v>1</v>
      </c>
      <c r="X24" t="s">
        <v>33</v>
      </c>
      <c r="Y24" s="2" t="str">
        <f t="shared" si="9"/>
        <v/>
      </c>
      <c r="Z24" s="15" t="str">
        <f t="shared" si="10"/>
        <v/>
      </c>
      <c r="AA24" s="15" t="str">
        <f t="shared" si="11"/>
        <v/>
      </c>
      <c r="AB24" s="15" t="str">
        <f t="shared" si="12"/>
        <v/>
      </c>
      <c r="AC24" t="s">
        <v>33</v>
      </c>
      <c r="AD24">
        <f t="shared" si="13"/>
        <v>0</v>
      </c>
      <c r="AE24" s="17" t="str">
        <f t="shared" si="0"/>
        <v/>
      </c>
      <c r="AP24" t="str">
        <f>+P25</f>
        <v>["b222"]</v>
      </c>
      <c r="AQ24" t="s">
        <v>402</v>
      </c>
      <c r="AR24" t="s">
        <v>360</v>
      </c>
    </row>
    <row r="25" spans="1:45">
      <c r="A25" t="s">
        <v>229</v>
      </c>
      <c r="B25" t="s">
        <v>230</v>
      </c>
      <c r="D25" s="6" t="str">
        <f>C$24&amp;"之"&amp;B25</f>
        <v>陈岩之长媳</v>
      </c>
      <c r="E25" s="6" t="s">
        <v>231</v>
      </c>
      <c r="F25" s="14">
        <v>26207</v>
      </c>
      <c r="G25" s="6" t="str">
        <f t="shared" si="18"/>
        <v>1971年9月13日</v>
      </c>
      <c r="H25" s="8" t="str">
        <f t="shared" si="19"/>
        <v>猪</v>
      </c>
      <c r="I25" s="6" t="str">
        <f>INDEX({"山羊座","射手座","天蝎座","天秤座","处女座","狮子座","巨蟹座","双子座","金牛座","牧羊座","双鱼座","水瓶座","山羊座"},MATCH(DATE(,MONTH(F25),DAY(F25)),{366,356,327,297,267,236,204,173,142,111,80,49,20},-1))</f>
        <v>天秤座</v>
      </c>
      <c r="J25" s="6"/>
      <c r="K25" s="6"/>
      <c r="L25" s="6"/>
      <c r="M25" s="6"/>
      <c r="N25" s="6"/>
      <c r="P25" t="str">
        <f t="shared" si="1"/>
        <v>["b222"]</v>
      </c>
      <c r="Q25" t="str">
        <f t="shared" si="4"/>
        <v>b222</v>
      </c>
      <c r="R25" s="6" t="str">
        <f t="shared" si="2"/>
        <v>文敏</v>
      </c>
      <c r="S25" s="13" t="s">
        <v>351</v>
      </c>
      <c r="T25" s="2">
        <f t="shared" si="5"/>
        <v>26207</v>
      </c>
      <c r="U25" s="15" t="str">
        <f t="shared" si="6"/>
        <v>1971</v>
      </c>
      <c r="V25" s="15" t="str">
        <f t="shared" si="7"/>
        <v>10</v>
      </c>
      <c r="W25" s="15" t="str">
        <f t="shared" si="8"/>
        <v>1</v>
      </c>
      <c r="X25" t="s">
        <v>33</v>
      </c>
      <c r="Y25" s="2" t="str">
        <f t="shared" si="9"/>
        <v/>
      </c>
      <c r="Z25" s="15" t="str">
        <f t="shared" si="10"/>
        <v/>
      </c>
      <c r="AA25" s="15" t="str">
        <f t="shared" si="11"/>
        <v/>
      </c>
      <c r="AB25" s="15" t="str">
        <f t="shared" si="12"/>
        <v/>
      </c>
      <c r="AC25" t="s">
        <v>33</v>
      </c>
      <c r="AD25">
        <f t="shared" si="13"/>
        <v>0</v>
      </c>
      <c r="AE25" s="17" t="str">
        <f t="shared" si="0"/>
        <v/>
      </c>
      <c r="AP25" t="str">
        <f>+P24</f>
        <v>["b221"]</v>
      </c>
    </row>
    <row r="26" spans="1:45">
      <c r="A26" t="s">
        <v>232</v>
      </c>
      <c r="B26" t="s">
        <v>233</v>
      </c>
      <c r="D26" s="6" t="str">
        <f>C$24&amp;"之"&amp;B26</f>
        <v>陈岩之孙女</v>
      </c>
      <c r="E26" s="6" t="s">
        <v>234</v>
      </c>
      <c r="F26" s="14">
        <v>36495</v>
      </c>
      <c r="G26" s="6" t="str">
        <f t="shared" si="18"/>
        <v>1999年10月24日</v>
      </c>
      <c r="H26" s="8" t="str">
        <f t="shared" si="19"/>
        <v>免</v>
      </c>
      <c r="I26" s="6" t="str">
        <f>INDEX({"山羊座","射手座","天蝎座","天秤座","处女座","狮子座","巨蟹座","双子座","金牛座","牧羊座","双鱼座","水瓶座","山羊座"},MATCH(DATE(,MONTH(F26),DAY(F26)),{366,356,327,297,267,236,204,173,142,111,80,49,20},-1))</f>
        <v>射手座</v>
      </c>
      <c r="J26" s="6"/>
      <c r="K26" s="6"/>
      <c r="L26" s="6"/>
      <c r="M26" s="6"/>
      <c r="N26" s="6"/>
      <c r="P26" t="str">
        <f t="shared" si="1"/>
        <v>["b2211"]</v>
      </c>
      <c r="Q26" t="str">
        <f t="shared" si="4"/>
        <v>b2211</v>
      </c>
      <c r="R26" s="6" t="str">
        <f t="shared" si="2"/>
        <v>孙锦琳</v>
      </c>
      <c r="S26" s="13" t="s">
        <v>351</v>
      </c>
      <c r="T26" s="2">
        <f t="shared" si="5"/>
        <v>36495</v>
      </c>
      <c r="U26" s="15" t="str">
        <f t="shared" si="6"/>
        <v>1999</v>
      </c>
      <c r="V26" s="15" t="str">
        <f t="shared" si="7"/>
        <v>12</v>
      </c>
      <c r="W26" s="15" t="str">
        <f t="shared" si="8"/>
        <v>1</v>
      </c>
      <c r="X26" t="s">
        <v>33</v>
      </c>
      <c r="Y26" s="2" t="str">
        <f t="shared" si="9"/>
        <v/>
      </c>
      <c r="Z26" s="15" t="str">
        <f t="shared" si="10"/>
        <v/>
      </c>
      <c r="AA26" s="15" t="str">
        <f t="shared" si="11"/>
        <v/>
      </c>
      <c r="AB26" s="15" t="str">
        <f t="shared" si="12"/>
        <v/>
      </c>
      <c r="AC26" t="s">
        <v>33</v>
      </c>
      <c r="AD26">
        <f t="shared" si="13"/>
        <v>0</v>
      </c>
      <c r="AE26" s="17" t="str">
        <f t="shared" si="0"/>
        <v/>
      </c>
      <c r="AR26" t="s">
        <v>386</v>
      </c>
    </row>
    <row r="27" spans="1:45">
      <c r="A27" t="s">
        <v>235</v>
      </c>
      <c r="B27" t="s">
        <v>194</v>
      </c>
      <c r="C27" t="s">
        <v>165</v>
      </c>
      <c r="D27" s="6" t="str">
        <f>C$27&amp;"之"&amp;B27</f>
        <v>陳森銓之次子</v>
      </c>
      <c r="E27" s="6" t="s">
        <v>236</v>
      </c>
      <c r="F27" s="7">
        <v>11668</v>
      </c>
      <c r="G27" s="6" t="str">
        <f t="shared" ref="G27:G34" si="20">TEXT(F27,"[$-130000]YYYY年M月D日")</f>
        <v>1931年11月18日</v>
      </c>
      <c r="H27" s="8" t="str">
        <f t="shared" ref="H27:H34" si="21">MID("猴鸡狗猪鼠牛虎免龙蛇马羊",MOD(YEAR(F27),12)+1,1)</f>
        <v>羊</v>
      </c>
      <c r="I27" s="6" t="str">
        <f>INDEX({"山羊座","射手座","天蝎座","天秤座","处女座","狮子座","巨蟹座","双子座","金牛座","牧羊座","双鱼座","水瓶座","山羊座"},MATCH(DATE(,MONTH(F27),DAY(F27)),{366,356,327,297,267,236,204,173,142,111,80,49,20},-1))</f>
        <v>射手座</v>
      </c>
      <c r="J27" s="6"/>
      <c r="K27" s="6"/>
      <c r="L27" s="6"/>
      <c r="M27" s="6"/>
      <c r="N27" s="6"/>
      <c r="P27" t="str">
        <f t="shared" si="1"/>
        <v>["b31"]</v>
      </c>
      <c r="Q27" t="str">
        <f t="shared" si="4"/>
        <v>b31</v>
      </c>
      <c r="R27" s="6" t="str">
        <f t="shared" si="2"/>
        <v>黃學治</v>
      </c>
      <c r="S27" s="13" t="s">
        <v>352</v>
      </c>
      <c r="T27" s="2">
        <f t="shared" si="5"/>
        <v>11668</v>
      </c>
      <c r="U27" s="15" t="str">
        <f t="shared" si="6"/>
        <v>1931</v>
      </c>
      <c r="V27" s="15" t="str">
        <f t="shared" si="7"/>
        <v>12</v>
      </c>
      <c r="W27" s="15" t="str">
        <f t="shared" si="8"/>
        <v>11</v>
      </c>
      <c r="X27" t="s">
        <v>33</v>
      </c>
      <c r="Y27" s="2" t="str">
        <f t="shared" si="9"/>
        <v/>
      </c>
      <c r="Z27" s="15" t="str">
        <f t="shared" si="10"/>
        <v/>
      </c>
      <c r="AA27" s="15" t="str">
        <f t="shared" si="11"/>
        <v/>
      </c>
      <c r="AB27" s="15" t="str">
        <f t="shared" si="12"/>
        <v/>
      </c>
      <c r="AC27" t="s">
        <v>33</v>
      </c>
      <c r="AD27">
        <f t="shared" si="13"/>
        <v>0</v>
      </c>
      <c r="AE27" s="17" t="str">
        <f t="shared" si="0"/>
        <v/>
      </c>
      <c r="AP27" t="str">
        <f>+P28</f>
        <v>["b32"]</v>
      </c>
      <c r="AQ27" t="s">
        <v>403</v>
      </c>
      <c r="AR27" t="s">
        <v>357</v>
      </c>
    </row>
    <row r="28" spans="1:45">
      <c r="A28" t="s">
        <v>237</v>
      </c>
      <c r="B28" t="s">
        <v>198</v>
      </c>
      <c r="D28" s="6" t="str">
        <f>C$27&amp;"之"&amp;B28</f>
        <v>陳森銓之次媳</v>
      </c>
      <c r="E28" s="6" t="s">
        <v>238</v>
      </c>
      <c r="F28" s="7">
        <v>17747</v>
      </c>
      <c r="G28" s="6" t="str">
        <f t="shared" si="20"/>
        <v>1948年7月14日</v>
      </c>
      <c r="H28" s="8" t="str">
        <f t="shared" si="21"/>
        <v>鼠</v>
      </c>
      <c r="I28" s="6" t="str">
        <f>INDEX({"山羊座","射手座","天蝎座","天秤座","处女座","狮子座","巨蟹座","双子座","金牛座","牧羊座","双鱼座","水瓶座","山羊座"},MATCH(DATE(,MONTH(F28),DAY(F28)),{366,356,327,297,267,236,204,173,142,111,80,49,20},-1))</f>
        <v>狮子座</v>
      </c>
      <c r="J28" s="6"/>
      <c r="K28" s="6"/>
      <c r="L28" s="6"/>
      <c r="M28" s="6"/>
      <c r="N28" s="6"/>
      <c r="P28" t="str">
        <f t="shared" si="1"/>
        <v>["b32"]</v>
      </c>
      <c r="Q28" t="str">
        <f t="shared" si="4"/>
        <v>b32</v>
      </c>
      <c r="R28" s="6" t="str">
        <f t="shared" si="2"/>
        <v>陳秀珠</v>
      </c>
      <c r="S28" s="13" t="s">
        <v>351</v>
      </c>
      <c r="T28" s="2">
        <f t="shared" si="5"/>
        <v>17747</v>
      </c>
      <c r="U28" s="15" t="str">
        <f t="shared" si="6"/>
        <v>1948</v>
      </c>
      <c r="V28" s="15" t="str">
        <f t="shared" si="7"/>
        <v>8</v>
      </c>
      <c r="W28" s="15" t="str">
        <f t="shared" si="8"/>
        <v>2</v>
      </c>
      <c r="X28" t="s">
        <v>33</v>
      </c>
      <c r="Y28" s="2" t="str">
        <f t="shared" si="9"/>
        <v/>
      </c>
      <c r="Z28" s="15" t="str">
        <f t="shared" si="10"/>
        <v/>
      </c>
      <c r="AA28" s="15" t="str">
        <f t="shared" si="11"/>
        <v/>
      </c>
      <c r="AB28" s="15" t="str">
        <f t="shared" si="12"/>
        <v/>
      </c>
      <c r="AC28" t="s">
        <v>33</v>
      </c>
      <c r="AD28">
        <f t="shared" si="13"/>
        <v>0</v>
      </c>
      <c r="AE28" s="17" t="str">
        <f t="shared" si="0"/>
        <v/>
      </c>
      <c r="AP28" t="str">
        <f>+P27</f>
        <v>["b31"]</v>
      </c>
    </row>
    <row r="29" spans="1:45">
      <c r="A29" t="s">
        <v>239</v>
      </c>
      <c r="B29" t="s">
        <v>173</v>
      </c>
      <c r="C29" t="str">
        <f>E27</f>
        <v>黃學治</v>
      </c>
      <c r="D29" s="6" t="str">
        <f>C$29&amp;"之"&amp;B29</f>
        <v>黃學治之長女</v>
      </c>
      <c r="E29" s="6" t="s">
        <v>240</v>
      </c>
      <c r="F29" s="7">
        <v>25709</v>
      </c>
      <c r="G29" s="6" t="str">
        <f t="shared" si="20"/>
        <v>1970年4月17日</v>
      </c>
      <c r="H29" s="8" t="str">
        <f t="shared" si="21"/>
        <v>狗</v>
      </c>
      <c r="I29" s="6" t="str">
        <f>INDEX({"山羊座","射手座","天蝎座","天秤座","处女座","狮子座","巨蟹座","双子座","金牛座","牧羊座","双鱼座","水瓶座","山羊座"},MATCH(DATE(,MONTH(F29),DAY(F29)),{366,356,327,297,267,236,204,173,142,111,80,49,20},-1))</f>
        <v>金牛座</v>
      </c>
      <c r="J29" s="7">
        <v>44720</v>
      </c>
      <c r="K29" s="6"/>
      <c r="L29" s="6"/>
      <c r="M29" s="6"/>
      <c r="N29" s="6" t="s">
        <v>353</v>
      </c>
      <c r="P29" t="str">
        <f t="shared" si="1"/>
        <v>["b311"]</v>
      </c>
      <c r="Q29" t="str">
        <f t="shared" si="4"/>
        <v>b311</v>
      </c>
      <c r="R29" s="6" t="str">
        <f t="shared" si="2"/>
        <v>黃惠蘭</v>
      </c>
      <c r="S29" s="13" t="s">
        <v>351</v>
      </c>
      <c r="T29" s="2">
        <f t="shared" si="5"/>
        <v>25709</v>
      </c>
      <c r="U29" s="15" t="str">
        <f t="shared" si="6"/>
        <v>1970</v>
      </c>
      <c r="V29" s="15" t="str">
        <f t="shared" si="7"/>
        <v>5</v>
      </c>
      <c r="W29" s="15" t="str">
        <f t="shared" si="8"/>
        <v>21</v>
      </c>
      <c r="X29" t="s">
        <v>33</v>
      </c>
      <c r="Y29" s="2">
        <f t="shared" si="9"/>
        <v>44720</v>
      </c>
      <c r="Z29" s="15" t="str">
        <f t="shared" si="10"/>
        <v>2022</v>
      </c>
      <c r="AA29" s="15" t="str">
        <f t="shared" si="11"/>
        <v>6</v>
      </c>
      <c r="AB29" s="15" t="str">
        <f t="shared" si="12"/>
        <v>8</v>
      </c>
      <c r="AC29" t="s">
        <v>33</v>
      </c>
      <c r="AD29">
        <f t="shared" si="13"/>
        <v>1</v>
      </c>
      <c r="AE29" s="17" t="str">
        <f t="shared" si="0"/>
        <v/>
      </c>
      <c r="AP29" t="str">
        <f>+P30</f>
        <v>["b312"]</v>
      </c>
      <c r="AQ29" t="s">
        <v>404</v>
      </c>
      <c r="AR29" t="s">
        <v>363</v>
      </c>
      <c r="AS29" t="s">
        <v>428</v>
      </c>
    </row>
    <row r="30" spans="1:45">
      <c r="A30" t="s">
        <v>241</v>
      </c>
      <c r="B30" t="s">
        <v>177</v>
      </c>
      <c r="D30" s="6" t="str">
        <f t="shared" ref="D30:D36" si="22">C$29&amp;"之"&amp;B30</f>
        <v>黃學治之女婿</v>
      </c>
      <c r="E30" s="6" t="s">
        <v>242</v>
      </c>
      <c r="F30" s="7">
        <v>25552</v>
      </c>
      <c r="G30" s="6" t="str">
        <f t="shared" si="20"/>
        <v>1969年11月7日</v>
      </c>
      <c r="H30" s="8" t="str">
        <f t="shared" si="21"/>
        <v>鸡</v>
      </c>
      <c r="I30" s="6" t="str">
        <f>INDEX({"山羊座","射手座","天蝎座","天秤座","处女座","狮子座","巨蟹座","双子座","金牛座","牧羊座","双鱼座","水瓶座","山羊座"},MATCH(DATE(,MONTH(F30),DAY(F30)),{366,356,327,297,267,236,204,173,142,111,80,49,20},-1))</f>
        <v>射手座</v>
      </c>
      <c r="J30" s="6"/>
      <c r="K30" s="6"/>
      <c r="L30" s="6"/>
      <c r="M30" s="6"/>
      <c r="N30" s="6"/>
      <c r="P30" t="str">
        <f t="shared" si="1"/>
        <v>["b312"]</v>
      </c>
      <c r="Q30" t="str">
        <f t="shared" si="4"/>
        <v>b312</v>
      </c>
      <c r="R30" s="6" t="str">
        <f t="shared" si="2"/>
        <v>黃義雄</v>
      </c>
      <c r="S30" s="13" t="s">
        <v>352</v>
      </c>
      <c r="T30" s="2">
        <f t="shared" si="5"/>
        <v>25552</v>
      </c>
      <c r="U30" s="15" t="str">
        <f t="shared" si="6"/>
        <v>1969</v>
      </c>
      <c r="V30" s="15" t="str">
        <f t="shared" si="7"/>
        <v>12</v>
      </c>
      <c r="W30" s="15" t="str">
        <f t="shared" si="8"/>
        <v>15</v>
      </c>
      <c r="X30" t="s">
        <v>33</v>
      </c>
      <c r="Y30" s="2" t="str">
        <f t="shared" si="9"/>
        <v/>
      </c>
      <c r="Z30" s="15" t="str">
        <f t="shared" si="10"/>
        <v/>
      </c>
      <c r="AA30" s="15" t="str">
        <f t="shared" si="11"/>
        <v/>
      </c>
      <c r="AB30" s="15" t="str">
        <f t="shared" si="12"/>
        <v/>
      </c>
      <c r="AC30" t="s">
        <v>33</v>
      </c>
      <c r="AD30">
        <f t="shared" si="13"/>
        <v>0</v>
      </c>
      <c r="AE30" s="17" t="str">
        <f t="shared" si="0"/>
        <v/>
      </c>
      <c r="AP30" t="str">
        <f>+P29</f>
        <v>["b311"]</v>
      </c>
    </row>
    <row r="31" spans="1:45">
      <c r="A31" t="s">
        <v>243</v>
      </c>
      <c r="B31" t="s">
        <v>181</v>
      </c>
      <c r="D31" s="6" t="str">
        <f t="shared" si="22"/>
        <v>黃學治之外孫</v>
      </c>
      <c r="E31" s="6" t="s">
        <v>244</v>
      </c>
      <c r="F31" s="7">
        <v>32310</v>
      </c>
      <c r="G31" s="6" t="str">
        <f t="shared" si="20"/>
        <v>1988年5月3日</v>
      </c>
      <c r="H31" s="8" t="str">
        <f t="shared" si="21"/>
        <v>龙</v>
      </c>
      <c r="I31" s="6" t="str">
        <f>INDEX({"山羊座","射手座","天蝎座","天秤座","处女座","狮子座","巨蟹座","双子座","金牛座","牧羊座","双鱼座","水瓶座","山羊座"},MATCH(DATE(,MONTH(F31),DAY(F31)),{366,356,327,297,267,236,204,173,142,111,80,49,20},-1))</f>
        <v>双子座</v>
      </c>
      <c r="J31" s="6"/>
      <c r="K31" s="6"/>
      <c r="L31" s="6"/>
      <c r="M31" s="6"/>
      <c r="N31" s="6"/>
      <c r="P31" t="str">
        <f t="shared" si="1"/>
        <v>["b3111"]</v>
      </c>
      <c r="Q31" t="str">
        <f t="shared" si="4"/>
        <v>b3111</v>
      </c>
      <c r="R31" s="6" t="str">
        <f t="shared" si="2"/>
        <v>黃耀名</v>
      </c>
      <c r="S31" s="13" t="s">
        <v>352</v>
      </c>
      <c r="T31" s="2">
        <f t="shared" si="5"/>
        <v>32310</v>
      </c>
      <c r="U31" s="15" t="str">
        <f t="shared" si="6"/>
        <v>1988</v>
      </c>
      <c r="V31" s="15" t="str">
        <f t="shared" si="7"/>
        <v>6</v>
      </c>
      <c r="W31" s="15" t="str">
        <f t="shared" si="8"/>
        <v>16</v>
      </c>
      <c r="X31" t="s">
        <v>33</v>
      </c>
      <c r="Y31" s="2" t="str">
        <f t="shared" si="9"/>
        <v/>
      </c>
      <c r="Z31" s="15" t="str">
        <f t="shared" si="10"/>
        <v/>
      </c>
      <c r="AA31" s="15" t="str">
        <f t="shared" si="11"/>
        <v/>
      </c>
      <c r="AB31" s="15" t="str">
        <f t="shared" si="12"/>
        <v/>
      </c>
      <c r="AC31" t="s">
        <v>33</v>
      </c>
      <c r="AD31">
        <f t="shared" si="13"/>
        <v>0</v>
      </c>
      <c r="AE31" s="17" t="str">
        <f t="shared" si="0"/>
        <v/>
      </c>
      <c r="AR31" t="s">
        <v>387</v>
      </c>
    </row>
    <row r="32" spans="1:45">
      <c r="A32" t="s">
        <v>245</v>
      </c>
      <c r="B32" t="s">
        <v>181</v>
      </c>
      <c r="D32" s="6" t="str">
        <f t="shared" si="22"/>
        <v>黃學治之外孫</v>
      </c>
      <c r="E32" s="6" t="s">
        <v>246</v>
      </c>
      <c r="F32" s="7">
        <v>33441</v>
      </c>
      <c r="G32" s="6" t="str">
        <f t="shared" si="20"/>
        <v>1991年6月11日</v>
      </c>
      <c r="H32" s="8" t="str">
        <f t="shared" si="21"/>
        <v>羊</v>
      </c>
      <c r="I32" s="6" t="str">
        <f>INDEX({"山羊座","射手座","天蝎座","天秤座","处女座","狮子座","巨蟹座","双子座","金牛座","牧羊座","双鱼座","水瓶座","山羊座"},MATCH(DATE(,MONTH(F32),DAY(F32)),{366,356,327,297,267,236,204,173,142,111,80,49,20},-1))</f>
        <v>巨蟹座</v>
      </c>
      <c r="J32" s="6"/>
      <c r="K32" s="6"/>
      <c r="L32" s="6"/>
      <c r="M32" s="6"/>
      <c r="N32" s="6"/>
      <c r="P32" t="str">
        <f t="shared" si="1"/>
        <v>["b3112"]</v>
      </c>
      <c r="Q32" t="str">
        <f t="shared" si="4"/>
        <v>b3112</v>
      </c>
      <c r="R32" s="6" t="str">
        <f t="shared" si="2"/>
        <v>黃耀正</v>
      </c>
      <c r="S32" s="13" t="s">
        <v>352</v>
      </c>
      <c r="T32" s="2">
        <f t="shared" si="5"/>
        <v>33441</v>
      </c>
      <c r="U32" s="15" t="str">
        <f t="shared" si="6"/>
        <v>1991</v>
      </c>
      <c r="V32" s="15" t="str">
        <f t="shared" si="7"/>
        <v>7</v>
      </c>
      <c r="W32" s="15" t="str">
        <f t="shared" si="8"/>
        <v>22</v>
      </c>
      <c r="X32" t="s">
        <v>33</v>
      </c>
      <c r="Y32" s="2" t="str">
        <f t="shared" si="9"/>
        <v/>
      </c>
      <c r="Z32" s="15" t="str">
        <f t="shared" si="10"/>
        <v/>
      </c>
      <c r="AA32" s="15" t="str">
        <f t="shared" si="11"/>
        <v/>
      </c>
      <c r="AB32" s="15" t="str">
        <f t="shared" si="12"/>
        <v/>
      </c>
      <c r="AC32" t="s">
        <v>33</v>
      </c>
      <c r="AD32">
        <f t="shared" si="13"/>
        <v>0</v>
      </c>
      <c r="AE32" s="17" t="str">
        <f t="shared" si="0"/>
        <v/>
      </c>
      <c r="AR32" t="s">
        <v>387</v>
      </c>
    </row>
    <row r="33" spans="1:44">
      <c r="A33" t="s">
        <v>247</v>
      </c>
      <c r="B33" t="s">
        <v>207</v>
      </c>
      <c r="D33" s="6" t="str">
        <f t="shared" si="22"/>
        <v>黃學治之孫女</v>
      </c>
      <c r="E33" s="6" t="s">
        <v>248</v>
      </c>
      <c r="F33" s="7">
        <v>34259</v>
      </c>
      <c r="G33" s="6" t="str">
        <f t="shared" si="20"/>
        <v>1993年10月3日</v>
      </c>
      <c r="H33" s="8" t="str">
        <f t="shared" si="21"/>
        <v>鸡</v>
      </c>
      <c r="I33" s="6" t="str">
        <f>INDEX({"山羊座","射手座","天蝎座","天秤座","处女座","狮子座","巨蟹座","双子座","金牛座","牧羊座","双鱼座","水瓶座","山羊座"},MATCH(DATE(,MONTH(F33),DAY(F33)),{366,356,327,297,267,236,204,173,142,111,80,49,20},-1))</f>
        <v>天秤座</v>
      </c>
      <c r="J33" s="6"/>
      <c r="K33" s="6"/>
      <c r="L33" s="6"/>
      <c r="M33" s="6"/>
      <c r="N33" s="6"/>
      <c r="P33" t="str">
        <f t="shared" si="1"/>
        <v>["b3113"]</v>
      </c>
      <c r="Q33" t="str">
        <f t="shared" si="4"/>
        <v>b3113</v>
      </c>
      <c r="R33" s="6" t="str">
        <f t="shared" si="2"/>
        <v>黃詩庭</v>
      </c>
      <c r="S33" s="13" t="s">
        <v>351</v>
      </c>
      <c r="T33" s="2">
        <f t="shared" si="5"/>
        <v>34259</v>
      </c>
      <c r="U33" s="15" t="str">
        <f t="shared" si="6"/>
        <v>1993</v>
      </c>
      <c r="V33" s="15" t="str">
        <f t="shared" si="7"/>
        <v>10</v>
      </c>
      <c r="W33" s="15" t="str">
        <f t="shared" si="8"/>
        <v>17</v>
      </c>
      <c r="X33" t="s">
        <v>33</v>
      </c>
      <c r="Y33" s="2" t="str">
        <f t="shared" si="9"/>
        <v/>
      </c>
      <c r="Z33" s="15" t="str">
        <f t="shared" si="10"/>
        <v/>
      </c>
      <c r="AA33" s="15" t="str">
        <f t="shared" si="11"/>
        <v/>
      </c>
      <c r="AB33" s="15" t="str">
        <f t="shared" si="12"/>
        <v/>
      </c>
      <c r="AC33" t="s">
        <v>33</v>
      </c>
      <c r="AD33">
        <f t="shared" si="13"/>
        <v>0</v>
      </c>
      <c r="AE33" s="17" t="str">
        <f t="shared" si="0"/>
        <v/>
      </c>
      <c r="AR33" t="s">
        <v>387</v>
      </c>
    </row>
    <row r="34" spans="1:44">
      <c r="A34" t="s">
        <v>249</v>
      </c>
      <c r="B34" t="s">
        <v>250</v>
      </c>
      <c r="C34" s="6" t="s">
        <v>236</v>
      </c>
      <c r="D34" s="6" t="str">
        <f t="shared" si="22"/>
        <v>黃學治之次女</v>
      </c>
      <c r="E34" s="6" t="s">
        <v>251</v>
      </c>
      <c r="F34" s="7">
        <v>28644</v>
      </c>
      <c r="G34" s="6" t="str">
        <f t="shared" si="20"/>
        <v>1978年4月28日</v>
      </c>
      <c r="H34" s="8" t="str">
        <f t="shared" si="21"/>
        <v>马</v>
      </c>
      <c r="I34" s="6" t="str">
        <f>INDEX({"山羊座","射手座","天蝎座","天秤座","处女座","狮子座","巨蟹座","双子座","金牛座","牧羊座","双鱼座","水瓶座","山羊座"},MATCH(DATE(,MONTH(F34),DAY(F34)),{366,356,327,297,267,236,204,173,142,111,80,49,20},-1))</f>
        <v>双子座</v>
      </c>
      <c r="J34" s="6"/>
      <c r="K34" s="6"/>
      <c r="L34" s="6"/>
      <c r="M34" s="6"/>
      <c r="N34" s="6"/>
      <c r="P34" t="str">
        <f t="shared" si="1"/>
        <v>["b321"]</v>
      </c>
      <c r="Q34" t="str">
        <f t="shared" si="4"/>
        <v>b321</v>
      </c>
      <c r="R34" s="6" t="str">
        <f t="shared" si="2"/>
        <v>黃怡琳</v>
      </c>
      <c r="S34" s="13" t="s">
        <v>351</v>
      </c>
      <c r="T34" s="2">
        <f t="shared" si="5"/>
        <v>28644</v>
      </c>
      <c r="U34" s="15" t="str">
        <f t="shared" si="6"/>
        <v>1978</v>
      </c>
      <c r="V34" s="15" t="str">
        <f t="shared" si="7"/>
        <v>6</v>
      </c>
      <c r="W34" s="15" t="str">
        <f t="shared" si="8"/>
        <v>3</v>
      </c>
      <c r="X34" t="s">
        <v>33</v>
      </c>
      <c r="Y34" s="2" t="str">
        <f t="shared" si="9"/>
        <v/>
      </c>
      <c r="Z34" s="15" t="str">
        <f t="shared" si="10"/>
        <v/>
      </c>
      <c r="AA34" s="15" t="str">
        <f t="shared" si="11"/>
        <v/>
      </c>
      <c r="AB34" s="15" t="str">
        <f t="shared" si="12"/>
        <v/>
      </c>
      <c r="AC34" t="s">
        <v>33</v>
      </c>
      <c r="AD34">
        <f t="shared" si="13"/>
        <v>0</v>
      </c>
      <c r="AE34" s="17" t="str">
        <f t="shared" si="0"/>
        <v/>
      </c>
      <c r="AP34" t="str">
        <f>+P35</f>
        <v>["b322"]</v>
      </c>
      <c r="AR34" t="s">
        <v>363</v>
      </c>
    </row>
    <row r="35" spans="1:44">
      <c r="A35" t="s">
        <v>252</v>
      </c>
      <c r="B35" t="s">
        <v>177</v>
      </c>
      <c r="D35" s="6" t="str">
        <f t="shared" si="22"/>
        <v>黃學治之女婿</v>
      </c>
      <c r="E35" s="6"/>
      <c r="F35" s="6"/>
      <c r="G35" s="6"/>
      <c r="H35" s="6"/>
      <c r="I35" s="6"/>
      <c r="J35" s="6"/>
      <c r="K35" s="6"/>
      <c r="L35" s="6"/>
      <c r="M35" s="6"/>
      <c r="N35" s="6"/>
      <c r="P35" t="str">
        <f t="shared" si="1"/>
        <v>["b322"]</v>
      </c>
      <c r="Q35" t="str">
        <f t="shared" si="4"/>
        <v>b322</v>
      </c>
      <c r="R35" s="6">
        <f t="shared" si="2"/>
        <v>0</v>
      </c>
      <c r="S35" s="13" t="s">
        <v>352</v>
      </c>
      <c r="T35" s="2">
        <f t="shared" si="5"/>
        <v>0</v>
      </c>
      <c r="U35" s="15" t="str">
        <f t="shared" si="6"/>
        <v>1900</v>
      </c>
      <c r="V35" s="15" t="str">
        <f t="shared" si="7"/>
        <v>1</v>
      </c>
      <c r="W35" s="15" t="str">
        <f t="shared" si="8"/>
        <v>0</v>
      </c>
      <c r="X35" t="s">
        <v>33</v>
      </c>
      <c r="Y35" s="2" t="str">
        <f t="shared" si="9"/>
        <v/>
      </c>
      <c r="Z35" s="15" t="str">
        <f t="shared" si="10"/>
        <v/>
      </c>
      <c r="AA35" s="15" t="str">
        <f t="shared" si="11"/>
        <v/>
      </c>
      <c r="AB35" s="15" t="str">
        <f t="shared" si="12"/>
        <v/>
      </c>
      <c r="AC35" t="s">
        <v>33</v>
      </c>
      <c r="AD35">
        <f t="shared" si="13"/>
        <v>0</v>
      </c>
      <c r="AE35" s="17" t="str">
        <f t="shared" si="0"/>
        <v/>
      </c>
      <c r="AP35" t="str">
        <f>+P34</f>
        <v>["b321"]</v>
      </c>
    </row>
    <row r="36" spans="1:44">
      <c r="A36" t="s">
        <v>253</v>
      </c>
      <c r="B36" t="s">
        <v>181</v>
      </c>
      <c r="D36" s="6" t="str">
        <f t="shared" si="22"/>
        <v>黃學治之外孫</v>
      </c>
      <c r="E36" s="6"/>
      <c r="F36" s="6"/>
      <c r="G36" s="6"/>
      <c r="H36" s="6"/>
      <c r="I36" s="6"/>
      <c r="J36" s="6"/>
      <c r="K36" s="6"/>
      <c r="L36" s="6"/>
      <c r="M36" s="6"/>
      <c r="N36" s="6"/>
      <c r="P36" t="str">
        <f t="shared" si="1"/>
        <v>["b3211"]</v>
      </c>
      <c r="Q36" t="str">
        <f t="shared" si="4"/>
        <v>b3211</v>
      </c>
      <c r="R36" s="6">
        <f t="shared" si="2"/>
        <v>0</v>
      </c>
      <c r="S36" s="13" t="s">
        <v>352</v>
      </c>
      <c r="T36" s="2">
        <f t="shared" si="5"/>
        <v>0</v>
      </c>
      <c r="U36" s="15" t="str">
        <f t="shared" si="6"/>
        <v>1900</v>
      </c>
      <c r="V36" s="15" t="str">
        <f t="shared" si="7"/>
        <v>1</v>
      </c>
      <c r="W36" s="15" t="str">
        <f t="shared" si="8"/>
        <v>0</v>
      </c>
      <c r="X36" t="s">
        <v>33</v>
      </c>
      <c r="Y36" s="2" t="str">
        <f t="shared" si="9"/>
        <v/>
      </c>
      <c r="Z36" s="15" t="str">
        <f t="shared" si="10"/>
        <v/>
      </c>
      <c r="AA36" s="15" t="str">
        <f t="shared" si="11"/>
        <v/>
      </c>
      <c r="AB36" s="15" t="str">
        <f t="shared" si="12"/>
        <v/>
      </c>
      <c r="AC36" t="s">
        <v>33</v>
      </c>
      <c r="AD36">
        <f t="shared" si="13"/>
        <v>0</v>
      </c>
      <c r="AE36" s="17" t="str">
        <f t="shared" si="0"/>
        <v/>
      </c>
    </row>
    <row r="37" spans="1:44">
      <c r="A37" t="s">
        <v>254</v>
      </c>
      <c r="B37" t="s">
        <v>255</v>
      </c>
      <c r="C37" t="s">
        <v>165</v>
      </c>
      <c r="D37" s="6" t="str">
        <f>C$37&amp;"之"&amp;B37</f>
        <v>陳森銓之三子</v>
      </c>
      <c r="E37" s="6" t="s">
        <v>256</v>
      </c>
      <c r="F37" s="7">
        <v>12857</v>
      </c>
      <c r="G37" s="6" t="str">
        <f t="shared" ref="G37:G44" si="23">TEXT(F37,"[$-130000]YYYY年M月D日")</f>
        <v>1935年1月26日</v>
      </c>
      <c r="H37" s="8" t="str">
        <f t="shared" ref="H37:H44" si="24">MID("猴鸡狗猪鼠牛虎免龙蛇马羊",MOD(YEAR(F37),12)+1,1)</f>
        <v>猪</v>
      </c>
      <c r="I37" s="6" t="str">
        <f>INDEX({"山羊座","射手座","天蝎座","天秤座","处女座","狮子座","巨蟹座","双子座","金牛座","牧羊座","双鱼座","水瓶座","山羊座"},MATCH(DATE(,MONTH(F37),DAY(F37)),{366,356,327,297,267,236,204,173,142,111,80,49,20},-1))</f>
        <v>双鱼座</v>
      </c>
      <c r="J37" s="6"/>
      <c r="K37" s="6"/>
      <c r="L37" s="6"/>
      <c r="M37" s="6"/>
      <c r="N37" s="6"/>
      <c r="P37" t="str">
        <f t="shared" si="1"/>
        <v>["b41"]</v>
      </c>
      <c r="Q37" t="str">
        <f t="shared" si="4"/>
        <v>b41</v>
      </c>
      <c r="R37" s="6" t="str">
        <f t="shared" si="2"/>
        <v>陈本煊</v>
      </c>
      <c r="S37" s="13" t="s">
        <v>352</v>
      </c>
      <c r="T37" s="2">
        <f t="shared" si="5"/>
        <v>12857</v>
      </c>
      <c r="U37" s="15" t="str">
        <f t="shared" si="6"/>
        <v>1935</v>
      </c>
      <c r="V37" s="15" t="str">
        <f t="shared" si="7"/>
        <v>3</v>
      </c>
      <c r="W37" s="15" t="str">
        <f t="shared" si="8"/>
        <v>14</v>
      </c>
      <c r="X37" t="s">
        <v>33</v>
      </c>
      <c r="Y37" s="2" t="str">
        <f t="shared" si="9"/>
        <v/>
      </c>
      <c r="Z37" s="15" t="str">
        <f t="shared" si="10"/>
        <v/>
      </c>
      <c r="AA37" s="15" t="str">
        <f t="shared" si="11"/>
        <v/>
      </c>
      <c r="AB37" s="15" t="str">
        <f t="shared" si="12"/>
        <v/>
      </c>
      <c r="AC37" t="s">
        <v>33</v>
      </c>
      <c r="AD37">
        <f t="shared" si="13"/>
        <v>0</v>
      </c>
      <c r="AE37" s="17" t="str">
        <f t="shared" si="0"/>
        <v/>
      </c>
      <c r="AP37" t="str">
        <f>+P38</f>
        <v>["b42"]</v>
      </c>
      <c r="AQ37" t="s">
        <v>407</v>
      </c>
      <c r="AR37" t="s">
        <v>357</v>
      </c>
    </row>
    <row r="38" spans="1:44">
      <c r="A38" t="s">
        <v>257</v>
      </c>
      <c r="B38" t="s">
        <v>258</v>
      </c>
      <c r="D38" s="6" t="str">
        <f>C$37&amp;"之"&amp;B38</f>
        <v>陳森銓之三媳</v>
      </c>
      <c r="E38" s="6" t="s">
        <v>259</v>
      </c>
      <c r="F38" s="7">
        <v>15569</v>
      </c>
      <c r="G38" s="6" t="str">
        <f t="shared" si="23"/>
        <v>1942年7月22日</v>
      </c>
      <c r="H38" s="8" t="str">
        <f t="shared" si="24"/>
        <v>马</v>
      </c>
      <c r="I38" s="6" t="str">
        <f>INDEX({"山羊座","射手座","天蝎座","天秤座","处女座","狮子座","巨蟹座","双子座","金牛座","牧羊座","双鱼座","水瓶座","山羊座"},MATCH(DATE(,MONTH(F38),DAY(F38)),{366,356,327,297,267,236,204,173,142,111,80,49,20},-1))</f>
        <v>狮子座</v>
      </c>
      <c r="J38" s="10" t="s">
        <v>260</v>
      </c>
      <c r="K38" s="6" t="s">
        <v>261</v>
      </c>
      <c r="L38" s="6"/>
      <c r="M38" s="6"/>
      <c r="N38" s="6"/>
      <c r="P38" t="str">
        <f t="shared" si="1"/>
        <v>["b42"]</v>
      </c>
      <c r="Q38" t="str">
        <f t="shared" si="4"/>
        <v>b42</v>
      </c>
      <c r="R38" s="6" t="str">
        <f t="shared" si="2"/>
        <v>朱琼</v>
      </c>
      <c r="S38" s="13" t="s">
        <v>351</v>
      </c>
      <c r="T38" s="2">
        <f t="shared" si="5"/>
        <v>15569</v>
      </c>
      <c r="U38" s="15" t="str">
        <f t="shared" si="6"/>
        <v>1942</v>
      </c>
      <c r="V38" s="15" t="str">
        <f t="shared" si="7"/>
        <v>8</v>
      </c>
      <c r="W38" s="15" t="str">
        <f t="shared" si="8"/>
        <v>16</v>
      </c>
      <c r="X38" t="s">
        <v>33</v>
      </c>
      <c r="Y38" s="2" t="str">
        <f t="shared" si="9"/>
        <v>2002/2/5</v>
      </c>
      <c r="Z38" s="15" t="str">
        <f t="shared" si="10"/>
        <v>2002</v>
      </c>
      <c r="AA38" s="15" t="str">
        <f t="shared" si="11"/>
        <v>2</v>
      </c>
      <c r="AB38" s="15" t="str">
        <f t="shared" si="12"/>
        <v>5</v>
      </c>
      <c r="AC38" t="s">
        <v>33</v>
      </c>
      <c r="AD38">
        <f t="shared" si="13"/>
        <v>1</v>
      </c>
      <c r="AE38" s="17" t="str">
        <f t="shared" si="0"/>
        <v/>
      </c>
      <c r="AP38" t="str">
        <f>+P37</f>
        <v>["b41"]</v>
      </c>
    </row>
    <row r="39" spans="1:44">
      <c r="A39" t="s">
        <v>262</v>
      </c>
      <c r="B39" t="s">
        <v>173</v>
      </c>
      <c r="C39" t="str">
        <f>E37</f>
        <v>陈本煊</v>
      </c>
      <c r="D39" s="6" t="str">
        <f t="shared" ref="D39:D44" si="25">C$39&amp;"之"&amp;B39</f>
        <v>陈本煊之長女</v>
      </c>
      <c r="E39" s="6" t="s">
        <v>263</v>
      </c>
      <c r="F39" s="7">
        <v>24295</v>
      </c>
      <c r="G39" s="6" t="str">
        <f t="shared" si="23"/>
        <v>1966年6月19日</v>
      </c>
      <c r="H39" s="8" t="str">
        <f t="shared" si="24"/>
        <v>马</v>
      </c>
      <c r="I39" s="6" t="str">
        <f>INDEX({"山羊座","射手座","天蝎座","天秤座","处女座","狮子座","巨蟹座","双子座","金牛座","牧羊座","双鱼座","水瓶座","山羊座"},MATCH(DATE(,MONTH(F39),DAY(F39)),{366,356,327,297,267,236,204,173,142,111,80,49,20},-1))</f>
        <v>巨蟹座</v>
      </c>
      <c r="J39" s="6"/>
      <c r="K39" s="6"/>
      <c r="L39" s="6"/>
      <c r="M39" s="6"/>
      <c r="N39" s="6"/>
      <c r="P39" t="str">
        <f t="shared" si="1"/>
        <v>["b411"]</v>
      </c>
      <c r="Q39" t="str">
        <f t="shared" si="4"/>
        <v>b411</v>
      </c>
      <c r="R39" s="6" t="str">
        <f t="shared" si="2"/>
        <v>陈芳</v>
      </c>
      <c r="S39" s="13" t="s">
        <v>351</v>
      </c>
      <c r="T39" s="2">
        <f t="shared" si="5"/>
        <v>24295</v>
      </c>
      <c r="U39" s="15" t="str">
        <f t="shared" si="6"/>
        <v>1966</v>
      </c>
      <c r="V39" s="15" t="str">
        <f t="shared" si="7"/>
        <v>7</v>
      </c>
      <c r="W39" s="15" t="str">
        <f t="shared" si="8"/>
        <v>7</v>
      </c>
      <c r="X39" t="s">
        <v>33</v>
      </c>
      <c r="Y39" s="2" t="str">
        <f t="shared" si="9"/>
        <v/>
      </c>
      <c r="Z39" s="15" t="str">
        <f t="shared" si="10"/>
        <v/>
      </c>
      <c r="AA39" s="15" t="str">
        <f t="shared" si="11"/>
        <v/>
      </c>
      <c r="AB39" s="15" t="str">
        <f t="shared" si="12"/>
        <v/>
      </c>
      <c r="AC39" t="s">
        <v>33</v>
      </c>
      <c r="AD39">
        <f t="shared" si="13"/>
        <v>0</v>
      </c>
      <c r="AE39" s="17" t="str">
        <f t="shared" si="0"/>
        <v/>
      </c>
      <c r="AP39" t="str">
        <f>+P40</f>
        <v>["b412"]</v>
      </c>
      <c r="AQ39" t="s">
        <v>408</v>
      </c>
      <c r="AR39" t="s">
        <v>366</v>
      </c>
    </row>
    <row r="40" spans="1:44">
      <c r="A40" t="s">
        <v>264</v>
      </c>
      <c r="B40" t="s">
        <v>177</v>
      </c>
      <c r="D40" s="6" t="str">
        <f t="shared" si="25"/>
        <v>陈本煊之女婿</v>
      </c>
      <c r="E40" s="6" t="s">
        <v>265</v>
      </c>
      <c r="F40" s="7">
        <v>23531</v>
      </c>
      <c r="G40" s="6" t="str">
        <f t="shared" si="23"/>
        <v>1964年4月23日</v>
      </c>
      <c r="H40" s="8" t="str">
        <f t="shared" si="24"/>
        <v>龙</v>
      </c>
      <c r="I40" s="6" t="str">
        <f>INDEX({"山羊座","射手座","天蝎座","天秤座","处女座","狮子座","巨蟹座","双子座","金牛座","牧羊座","双鱼座","水瓶座","山羊座"},MATCH(DATE(,MONTH(F40),DAY(F40)),{366,356,327,297,267,236,204,173,142,111,80,49,20},-1))</f>
        <v>双子座</v>
      </c>
      <c r="J40" s="6"/>
      <c r="K40" s="6"/>
      <c r="L40" s="6"/>
      <c r="M40" s="6"/>
      <c r="N40" s="6"/>
      <c r="P40" t="str">
        <f t="shared" si="1"/>
        <v>["b412"]</v>
      </c>
      <c r="Q40" t="str">
        <f t="shared" si="4"/>
        <v>b412</v>
      </c>
      <c r="R40" s="6" t="str">
        <f t="shared" si="2"/>
        <v>范亚平</v>
      </c>
      <c r="S40" s="13" t="s">
        <v>352</v>
      </c>
      <c r="T40" s="2">
        <f t="shared" si="5"/>
        <v>23531</v>
      </c>
      <c r="U40" s="15" t="str">
        <f t="shared" si="6"/>
        <v>1964</v>
      </c>
      <c r="V40" s="15" t="str">
        <f t="shared" si="7"/>
        <v>6</v>
      </c>
      <c r="W40" s="15" t="str">
        <f t="shared" si="8"/>
        <v>3</v>
      </c>
      <c r="X40" t="s">
        <v>33</v>
      </c>
      <c r="Y40" s="2" t="str">
        <f t="shared" si="9"/>
        <v/>
      </c>
      <c r="Z40" s="15" t="str">
        <f t="shared" si="10"/>
        <v/>
      </c>
      <c r="AA40" s="15" t="str">
        <f t="shared" si="11"/>
        <v/>
      </c>
      <c r="AB40" s="15" t="str">
        <f t="shared" si="12"/>
        <v/>
      </c>
      <c r="AC40" t="s">
        <v>33</v>
      </c>
      <c r="AD40">
        <f t="shared" si="13"/>
        <v>0</v>
      </c>
      <c r="AE40" s="17" t="str">
        <f t="shared" si="0"/>
        <v/>
      </c>
      <c r="AP40" t="str">
        <f>+P39</f>
        <v>["b411"]</v>
      </c>
    </row>
    <row r="41" spans="1:44">
      <c r="A41" t="s">
        <v>266</v>
      </c>
      <c r="B41" t="s">
        <v>181</v>
      </c>
      <c r="D41" s="6" t="str">
        <f t="shared" si="25"/>
        <v>陈本煊之外孫</v>
      </c>
      <c r="E41" s="6" t="s">
        <v>267</v>
      </c>
      <c r="F41" s="7">
        <v>37284</v>
      </c>
      <c r="G41" s="6" t="str">
        <f t="shared" si="23"/>
        <v>2001年13月16日</v>
      </c>
      <c r="H41" s="8" t="str">
        <f t="shared" si="24"/>
        <v>马</v>
      </c>
      <c r="I41" s="6" t="str">
        <f>INDEX({"山羊座","射手座","天蝎座","天秤座","处女座","狮子座","巨蟹座","双子座","金牛座","牧羊座","双鱼座","水瓶座","山羊座"},MATCH(DATE(,MONTH(F41),DAY(F41)),{366,356,327,297,267,236,204,173,142,111,80,49,20},-1))</f>
        <v>水瓶座</v>
      </c>
      <c r="J41" s="6"/>
      <c r="K41" s="6"/>
      <c r="L41" s="6"/>
      <c r="M41" s="6"/>
      <c r="N41" s="6"/>
      <c r="P41" t="str">
        <f t="shared" si="1"/>
        <v>["b4111"]</v>
      </c>
      <c r="Q41" t="str">
        <f t="shared" si="4"/>
        <v>b4111</v>
      </c>
      <c r="R41" s="6" t="str">
        <f t="shared" si="2"/>
        <v>范之闽</v>
      </c>
      <c r="S41" s="13" t="s">
        <v>352</v>
      </c>
      <c r="T41" s="2">
        <f t="shared" si="5"/>
        <v>37284</v>
      </c>
      <c r="U41" s="15" t="str">
        <f t="shared" si="6"/>
        <v>2002</v>
      </c>
      <c r="V41" s="15" t="str">
        <f t="shared" si="7"/>
        <v>1</v>
      </c>
      <c r="W41" s="15" t="str">
        <f t="shared" si="8"/>
        <v>28</v>
      </c>
      <c r="X41" t="s">
        <v>33</v>
      </c>
      <c r="Y41" s="2" t="str">
        <f t="shared" si="9"/>
        <v/>
      </c>
      <c r="Z41" s="15" t="str">
        <f t="shared" si="10"/>
        <v/>
      </c>
      <c r="AA41" s="15" t="str">
        <f t="shared" si="11"/>
        <v/>
      </c>
      <c r="AB41" s="15" t="str">
        <f t="shared" si="12"/>
        <v/>
      </c>
      <c r="AC41" t="s">
        <v>33</v>
      </c>
      <c r="AD41">
        <f t="shared" si="13"/>
        <v>0</v>
      </c>
      <c r="AE41" s="17" t="str">
        <f t="shared" si="0"/>
        <v/>
      </c>
    </row>
    <row r="42" spans="1:44">
      <c r="A42" t="s">
        <v>268</v>
      </c>
      <c r="B42" t="s">
        <v>250</v>
      </c>
      <c r="C42" s="6" t="s">
        <v>256</v>
      </c>
      <c r="D42" s="6" t="str">
        <f t="shared" si="25"/>
        <v>陈本煊之次女</v>
      </c>
      <c r="E42" s="6" t="s">
        <v>269</v>
      </c>
      <c r="F42" s="7">
        <v>24295</v>
      </c>
      <c r="G42" s="6" t="str">
        <f t="shared" si="23"/>
        <v>1966年6月19日</v>
      </c>
      <c r="H42" s="8" t="str">
        <f t="shared" si="24"/>
        <v>马</v>
      </c>
      <c r="I42" s="6" t="str">
        <f>INDEX({"山羊座","射手座","天蝎座","天秤座","处女座","狮子座","巨蟹座","双子座","金牛座","牧羊座","双鱼座","水瓶座","山羊座"},MATCH(DATE(,MONTH(F42),DAY(F42)),{366,356,327,297,267,236,204,173,142,111,80,49,20},-1))</f>
        <v>巨蟹座</v>
      </c>
      <c r="J42" s="6"/>
      <c r="K42" s="6"/>
      <c r="L42" s="6"/>
      <c r="M42" s="6"/>
      <c r="N42" s="6"/>
      <c r="P42" t="str">
        <f t="shared" si="1"/>
        <v>["b421"]</v>
      </c>
      <c r="Q42" t="str">
        <f t="shared" si="4"/>
        <v>b421</v>
      </c>
      <c r="R42" s="6" t="str">
        <f t="shared" si="2"/>
        <v>陈倩</v>
      </c>
      <c r="S42" s="13" t="s">
        <v>351</v>
      </c>
      <c r="T42" s="2">
        <f t="shared" si="5"/>
        <v>24295</v>
      </c>
      <c r="U42" s="15" t="str">
        <f t="shared" si="6"/>
        <v>1966</v>
      </c>
      <c r="V42" s="15" t="str">
        <f t="shared" si="7"/>
        <v>7</v>
      </c>
      <c r="W42" s="15" t="str">
        <f t="shared" si="8"/>
        <v>7</v>
      </c>
      <c r="X42" t="s">
        <v>33</v>
      </c>
      <c r="Y42" s="2" t="str">
        <f t="shared" si="9"/>
        <v/>
      </c>
      <c r="Z42" s="15" t="str">
        <f t="shared" si="10"/>
        <v/>
      </c>
      <c r="AA42" s="15" t="str">
        <f t="shared" si="11"/>
        <v/>
      </c>
      <c r="AB42" s="15" t="str">
        <f t="shared" si="12"/>
        <v/>
      </c>
      <c r="AC42" t="s">
        <v>33</v>
      </c>
      <c r="AD42">
        <f t="shared" si="13"/>
        <v>0</v>
      </c>
      <c r="AE42" s="17" t="str">
        <f t="shared" si="0"/>
        <v/>
      </c>
      <c r="AP42" t="str">
        <f>+P43</f>
        <v>["b422"]</v>
      </c>
      <c r="AQ42" t="s">
        <v>409</v>
      </c>
      <c r="AR42" t="s">
        <v>366</v>
      </c>
    </row>
    <row r="43" spans="1:44">
      <c r="A43" t="s">
        <v>270</v>
      </c>
      <c r="B43" t="s">
        <v>177</v>
      </c>
      <c r="D43" s="6" t="str">
        <f t="shared" si="25"/>
        <v>陈本煊之女婿</v>
      </c>
      <c r="E43" s="6" t="s">
        <v>271</v>
      </c>
      <c r="F43" s="7">
        <v>23229</v>
      </c>
      <c r="G43" s="6" t="str">
        <f t="shared" si="23"/>
        <v>1963年7月17日</v>
      </c>
      <c r="H43" s="8" t="str">
        <f t="shared" si="24"/>
        <v>免</v>
      </c>
      <c r="I43" s="6" t="str">
        <f>INDEX({"山羊座","射手座","天蝎座","天秤座","处女座","狮子座","巨蟹座","双子座","金牛座","牧羊座","双鱼座","水瓶座","山羊座"},MATCH(DATE(,MONTH(F43),DAY(F43)),{366,356,327,297,267,236,204,173,142,111,80,49,20},-1))</f>
        <v>狮子座</v>
      </c>
      <c r="J43" s="6"/>
      <c r="K43" s="6"/>
      <c r="L43" s="6"/>
      <c r="M43" s="6"/>
      <c r="N43" s="6"/>
      <c r="P43" t="str">
        <f t="shared" si="1"/>
        <v>["b422"]</v>
      </c>
      <c r="Q43" t="str">
        <f t="shared" si="4"/>
        <v>b422</v>
      </c>
      <c r="R43" s="6" t="str">
        <f t="shared" si="2"/>
        <v>周效平</v>
      </c>
      <c r="S43" s="13" t="s">
        <v>352</v>
      </c>
      <c r="T43" s="2">
        <f t="shared" si="5"/>
        <v>23229</v>
      </c>
      <c r="U43" s="15" t="str">
        <f t="shared" si="6"/>
        <v>1963</v>
      </c>
      <c r="V43" s="15" t="str">
        <f t="shared" si="7"/>
        <v>8</v>
      </c>
      <c r="W43" s="15" t="str">
        <f t="shared" si="8"/>
        <v>6</v>
      </c>
      <c r="X43" t="s">
        <v>33</v>
      </c>
      <c r="Y43" s="2" t="str">
        <f t="shared" si="9"/>
        <v/>
      </c>
      <c r="Z43" s="15" t="str">
        <f t="shared" si="10"/>
        <v/>
      </c>
      <c r="AA43" s="15" t="str">
        <f t="shared" si="11"/>
        <v/>
      </c>
      <c r="AB43" s="15" t="str">
        <f t="shared" si="12"/>
        <v/>
      </c>
      <c r="AC43" t="s">
        <v>33</v>
      </c>
      <c r="AD43">
        <f t="shared" si="13"/>
        <v>0</v>
      </c>
      <c r="AE43" s="17" t="str">
        <f t="shared" si="0"/>
        <v/>
      </c>
      <c r="AP43" t="str">
        <f>+P42</f>
        <v>["b421"]</v>
      </c>
    </row>
    <row r="44" spans="1:44">
      <c r="A44" t="s">
        <v>272</v>
      </c>
      <c r="B44" t="s">
        <v>207</v>
      </c>
      <c r="D44" s="6" t="str">
        <f t="shared" si="25"/>
        <v>陈本煊之孫女</v>
      </c>
      <c r="E44" s="6" t="s">
        <v>273</v>
      </c>
      <c r="F44" s="7">
        <v>34608</v>
      </c>
      <c r="G44" s="6" t="str">
        <f t="shared" si="23"/>
        <v>1994年8月26日</v>
      </c>
      <c r="H44" s="8" t="str">
        <f t="shared" si="24"/>
        <v>狗</v>
      </c>
      <c r="I44" s="6" t="str">
        <f>INDEX({"山羊座","射手座","天蝎座","天秤座","处女座","狮子座","巨蟹座","双子座","金牛座","牧羊座","双鱼座","水瓶座","山羊座"},MATCH(DATE(,MONTH(F44),DAY(F44)),{366,356,327,297,267,236,204,173,142,111,80,49,20},-1))</f>
        <v>天秤座</v>
      </c>
      <c r="J44" s="6"/>
      <c r="K44" s="6"/>
      <c r="L44" s="6"/>
      <c r="M44" s="6"/>
      <c r="N44" s="6"/>
      <c r="P44" t="str">
        <f t="shared" si="1"/>
        <v>["b4211"]</v>
      </c>
      <c r="Q44" t="str">
        <f t="shared" si="4"/>
        <v>b4211</v>
      </c>
      <c r="R44" s="6" t="str">
        <f t="shared" si="2"/>
        <v>周静雅</v>
      </c>
      <c r="S44" s="13" t="s">
        <v>351</v>
      </c>
      <c r="T44" s="2">
        <f t="shared" si="5"/>
        <v>34608</v>
      </c>
      <c r="U44" s="15" t="str">
        <f t="shared" si="6"/>
        <v>1994</v>
      </c>
      <c r="V44" s="15" t="str">
        <f t="shared" si="7"/>
        <v>10</v>
      </c>
      <c r="W44" s="15" t="str">
        <f t="shared" si="8"/>
        <v>1</v>
      </c>
      <c r="X44" t="s">
        <v>33</v>
      </c>
      <c r="Y44" s="2" t="str">
        <f t="shared" si="9"/>
        <v/>
      </c>
      <c r="Z44" s="15" t="str">
        <f t="shared" si="10"/>
        <v/>
      </c>
      <c r="AA44" s="15" t="str">
        <f t="shared" si="11"/>
        <v/>
      </c>
      <c r="AB44" s="15" t="str">
        <f t="shared" si="12"/>
        <v/>
      </c>
      <c r="AC44" t="s">
        <v>33</v>
      </c>
      <c r="AD44">
        <f t="shared" si="13"/>
        <v>0</v>
      </c>
      <c r="AE44" s="17" t="str">
        <f t="shared" si="0"/>
        <v/>
      </c>
      <c r="AR44" t="s">
        <v>388</v>
      </c>
    </row>
    <row r="45" spans="1:44">
      <c r="A45" t="s">
        <v>274</v>
      </c>
      <c r="B45" t="s">
        <v>250</v>
      </c>
      <c r="C45" t="s">
        <v>165</v>
      </c>
      <c r="D45" s="6" t="str">
        <f>C$37&amp;"之"&amp;B45</f>
        <v>陳森銓之次女</v>
      </c>
      <c r="E45" s="6" t="s">
        <v>275</v>
      </c>
      <c r="F45" s="7">
        <v>13516</v>
      </c>
      <c r="G45" s="6" t="str">
        <f>TEXT(F45,"[$-130000]YYYY年M月D日")</f>
        <v>1936年12月6日</v>
      </c>
      <c r="H45" s="8"/>
      <c r="I45" s="6"/>
      <c r="J45" s="6"/>
      <c r="K45" s="6"/>
      <c r="L45" s="6"/>
      <c r="M45" s="6"/>
      <c r="N45" s="6"/>
      <c r="P45" t="str">
        <f t="shared" si="1"/>
        <v>["b51"]</v>
      </c>
      <c r="Q45" t="str">
        <f t="shared" si="4"/>
        <v>b51</v>
      </c>
      <c r="R45" s="6" t="str">
        <f t="shared" si="2"/>
        <v>陈奕贞</v>
      </c>
      <c r="S45" s="13" t="s">
        <v>351</v>
      </c>
      <c r="T45" s="2">
        <f t="shared" si="5"/>
        <v>13516</v>
      </c>
      <c r="U45" s="15" t="str">
        <f t="shared" si="6"/>
        <v>1937</v>
      </c>
      <c r="V45" s="15" t="str">
        <f t="shared" si="7"/>
        <v>1</v>
      </c>
      <c r="W45" s="15" t="str">
        <f t="shared" si="8"/>
        <v>1</v>
      </c>
      <c r="X45" t="s">
        <v>33</v>
      </c>
      <c r="Y45" s="2" t="str">
        <f t="shared" si="9"/>
        <v/>
      </c>
      <c r="Z45" s="15" t="str">
        <f t="shared" si="10"/>
        <v/>
      </c>
      <c r="AA45" s="15" t="str">
        <f t="shared" si="11"/>
        <v/>
      </c>
      <c r="AB45" s="15" t="str">
        <f t="shared" si="12"/>
        <v/>
      </c>
      <c r="AC45" t="s">
        <v>33</v>
      </c>
      <c r="AD45">
        <f t="shared" si="13"/>
        <v>0</v>
      </c>
      <c r="AE45" s="17" t="str">
        <f t="shared" si="0"/>
        <v/>
      </c>
      <c r="AP45" t="str">
        <f>+P46</f>
        <v>["b52"]</v>
      </c>
      <c r="AQ45" t="s">
        <v>410</v>
      </c>
      <c r="AR45" t="s">
        <v>357</v>
      </c>
    </row>
    <row r="46" spans="1:44">
      <c r="A46" t="s">
        <v>276</v>
      </c>
      <c r="B46" t="s">
        <v>177</v>
      </c>
      <c r="D46" s="6" t="str">
        <f>C$37&amp;"之"&amp;B46</f>
        <v>陳森銓之女婿</v>
      </c>
      <c r="E46" s="6" t="s">
        <v>369</v>
      </c>
      <c r="F46" s="7"/>
      <c r="G46" s="6"/>
      <c r="H46" s="8"/>
      <c r="I46" s="6"/>
      <c r="J46" s="7"/>
      <c r="K46" s="6"/>
      <c r="L46" s="6"/>
      <c r="M46" s="6"/>
      <c r="N46" s="6"/>
      <c r="P46" t="str">
        <f t="shared" si="1"/>
        <v>["b52"]</v>
      </c>
      <c r="Q46" t="str">
        <f t="shared" si="4"/>
        <v>b52</v>
      </c>
      <c r="R46" s="6" t="str">
        <f t="shared" si="2"/>
        <v>李思忠</v>
      </c>
      <c r="S46" s="13" t="s">
        <v>352</v>
      </c>
      <c r="T46" s="2">
        <f t="shared" si="5"/>
        <v>0</v>
      </c>
      <c r="U46" s="15" t="str">
        <f t="shared" si="6"/>
        <v>1900</v>
      </c>
      <c r="V46" s="15" t="str">
        <f t="shared" si="7"/>
        <v>1</v>
      </c>
      <c r="W46" s="15" t="str">
        <f t="shared" si="8"/>
        <v>0</v>
      </c>
      <c r="X46" t="s">
        <v>33</v>
      </c>
      <c r="Y46" s="2" t="str">
        <f t="shared" si="9"/>
        <v/>
      </c>
      <c r="Z46" s="15" t="str">
        <f t="shared" si="10"/>
        <v/>
      </c>
      <c r="AA46" s="15" t="str">
        <f t="shared" si="11"/>
        <v/>
      </c>
      <c r="AB46" s="15" t="str">
        <f t="shared" si="12"/>
        <v/>
      </c>
      <c r="AC46" t="s">
        <v>33</v>
      </c>
      <c r="AD46">
        <f t="shared" si="13"/>
        <v>0</v>
      </c>
      <c r="AE46" s="17" t="str">
        <f t="shared" si="0"/>
        <v/>
      </c>
      <c r="AP46" t="str">
        <f>+P45</f>
        <v>["b51"]</v>
      </c>
    </row>
    <row r="47" spans="1:44">
      <c r="A47" t="s">
        <v>277</v>
      </c>
      <c r="B47" t="s">
        <v>227</v>
      </c>
      <c r="C47" t="s">
        <v>275</v>
      </c>
      <c r="D47" s="6" t="str">
        <f>C$47&amp;"之"&amp;B47</f>
        <v>陈奕贞之长子</v>
      </c>
      <c r="E47" s="6" t="s">
        <v>278</v>
      </c>
      <c r="F47" s="6"/>
      <c r="G47" s="6"/>
      <c r="H47" s="6"/>
      <c r="I47" s="6"/>
      <c r="J47" s="6"/>
      <c r="K47" s="6"/>
      <c r="L47" s="6"/>
      <c r="M47" s="6"/>
      <c r="N47" s="6"/>
      <c r="P47" t="str">
        <f t="shared" si="1"/>
        <v>["b511"]</v>
      </c>
      <c r="Q47" t="str">
        <f t="shared" si="4"/>
        <v>b511</v>
      </c>
      <c r="R47" s="6" t="str">
        <f t="shared" si="2"/>
        <v>李伯伟</v>
      </c>
      <c r="S47" s="13" t="s">
        <v>352</v>
      </c>
      <c r="T47" s="2">
        <f t="shared" si="5"/>
        <v>0</v>
      </c>
      <c r="U47" s="15" t="str">
        <f t="shared" si="6"/>
        <v>1900</v>
      </c>
      <c r="V47" s="15" t="str">
        <f t="shared" si="7"/>
        <v>1</v>
      </c>
      <c r="W47" s="15" t="str">
        <f t="shared" si="8"/>
        <v>0</v>
      </c>
      <c r="X47" t="s">
        <v>33</v>
      </c>
      <c r="Y47" s="2" t="str">
        <f t="shared" si="9"/>
        <v/>
      </c>
      <c r="Z47" s="15" t="str">
        <f t="shared" si="10"/>
        <v/>
      </c>
      <c r="AA47" s="15" t="str">
        <f t="shared" si="11"/>
        <v/>
      </c>
      <c r="AB47" s="15" t="str">
        <f t="shared" si="12"/>
        <v/>
      </c>
      <c r="AC47" t="s">
        <v>33</v>
      </c>
      <c r="AD47">
        <f t="shared" si="13"/>
        <v>0</v>
      </c>
      <c r="AE47" s="17" t="str">
        <f t="shared" si="0"/>
        <v/>
      </c>
      <c r="AP47" t="str">
        <f>+P48</f>
        <v>["b512"]</v>
      </c>
      <c r="AQ47" t="s">
        <v>411</v>
      </c>
      <c r="AR47" t="s">
        <v>367</v>
      </c>
    </row>
    <row r="48" spans="1:44">
      <c r="A48" t="s">
        <v>279</v>
      </c>
      <c r="B48" t="s">
        <v>230</v>
      </c>
      <c r="D48" s="6" t="str">
        <f t="shared" ref="D48:D61" si="26">C$47&amp;"之"&amp;B48</f>
        <v>陈奕贞之长媳</v>
      </c>
      <c r="E48" s="6" t="s">
        <v>280</v>
      </c>
      <c r="F48" s="6"/>
      <c r="G48" s="6"/>
      <c r="H48" s="6"/>
      <c r="I48" s="6"/>
      <c r="J48" s="6"/>
      <c r="K48" s="6"/>
      <c r="L48" s="6"/>
      <c r="M48" s="6"/>
      <c r="N48" s="6"/>
      <c r="P48" t="str">
        <f t="shared" si="1"/>
        <v>["b512"]</v>
      </c>
      <c r="Q48" t="str">
        <f t="shared" si="4"/>
        <v>b512</v>
      </c>
      <c r="R48" s="6" t="str">
        <f t="shared" si="2"/>
        <v>李运秀</v>
      </c>
      <c r="S48" s="13" t="s">
        <v>351</v>
      </c>
      <c r="T48" s="2">
        <f t="shared" si="5"/>
        <v>0</v>
      </c>
      <c r="U48" s="15" t="str">
        <f t="shared" si="6"/>
        <v>1900</v>
      </c>
      <c r="V48" s="15" t="str">
        <f t="shared" si="7"/>
        <v>1</v>
      </c>
      <c r="W48" s="15" t="str">
        <f t="shared" si="8"/>
        <v>0</v>
      </c>
      <c r="X48" t="s">
        <v>33</v>
      </c>
      <c r="Y48" s="2" t="str">
        <f t="shared" si="9"/>
        <v/>
      </c>
      <c r="Z48" s="15" t="str">
        <f t="shared" si="10"/>
        <v/>
      </c>
      <c r="AA48" s="15" t="str">
        <f t="shared" si="11"/>
        <v/>
      </c>
      <c r="AB48" s="15" t="str">
        <f t="shared" si="12"/>
        <v/>
      </c>
      <c r="AC48" t="s">
        <v>33</v>
      </c>
      <c r="AD48">
        <f t="shared" si="13"/>
        <v>0</v>
      </c>
      <c r="AE48" s="17" t="str">
        <f t="shared" si="0"/>
        <v/>
      </c>
      <c r="AP48" t="str">
        <f>+P47</f>
        <v>["b511"]</v>
      </c>
    </row>
    <row r="49" spans="1:44">
      <c r="A49" t="s">
        <v>281</v>
      </c>
      <c r="B49" t="s">
        <v>207</v>
      </c>
      <c r="D49" s="6" t="str">
        <f t="shared" si="26"/>
        <v>陈奕贞之孫女</v>
      </c>
      <c r="E49" s="6" t="s">
        <v>282</v>
      </c>
      <c r="F49" s="6"/>
      <c r="G49" s="6"/>
      <c r="H49" s="6"/>
      <c r="I49" s="6"/>
      <c r="J49" s="6"/>
      <c r="K49" s="6"/>
      <c r="L49" s="6"/>
      <c r="M49" s="6"/>
      <c r="N49" s="6"/>
      <c r="P49" t="str">
        <f t="shared" si="1"/>
        <v>["b5111"]</v>
      </c>
      <c r="Q49" t="str">
        <f t="shared" si="4"/>
        <v>b5111</v>
      </c>
      <c r="R49" s="6" t="str">
        <f t="shared" si="2"/>
        <v>李琼</v>
      </c>
      <c r="S49" s="13" t="s">
        <v>351</v>
      </c>
      <c r="T49" s="2">
        <f t="shared" si="5"/>
        <v>0</v>
      </c>
      <c r="U49" s="15" t="str">
        <f t="shared" si="6"/>
        <v>1900</v>
      </c>
      <c r="V49" s="15" t="str">
        <f t="shared" si="7"/>
        <v>1</v>
      </c>
      <c r="W49" s="15" t="str">
        <f t="shared" si="8"/>
        <v>0</v>
      </c>
      <c r="X49" t="s">
        <v>33</v>
      </c>
      <c r="Y49" s="2" t="str">
        <f t="shared" si="9"/>
        <v/>
      </c>
      <c r="Z49" s="15" t="str">
        <f t="shared" si="10"/>
        <v/>
      </c>
      <c r="AA49" s="15" t="str">
        <f t="shared" si="11"/>
        <v/>
      </c>
      <c r="AB49" s="15" t="str">
        <f t="shared" si="12"/>
        <v/>
      </c>
      <c r="AC49" t="s">
        <v>33</v>
      </c>
      <c r="AD49">
        <f t="shared" si="13"/>
        <v>0</v>
      </c>
      <c r="AE49" s="17" t="str">
        <f t="shared" si="0"/>
        <v/>
      </c>
      <c r="AR49" t="s">
        <v>389</v>
      </c>
    </row>
    <row r="50" spans="1:44">
      <c r="A50" t="s">
        <v>283</v>
      </c>
      <c r="B50" t="s">
        <v>207</v>
      </c>
      <c r="D50" s="6" t="str">
        <f t="shared" si="26"/>
        <v>陈奕贞之孫女</v>
      </c>
      <c r="E50" s="6" t="s">
        <v>284</v>
      </c>
      <c r="F50" s="6"/>
      <c r="G50" s="6"/>
      <c r="H50" s="6"/>
      <c r="I50" s="6"/>
      <c r="J50" s="6"/>
      <c r="K50" s="6"/>
      <c r="L50" s="6"/>
      <c r="M50" s="6"/>
      <c r="N50" s="6"/>
      <c r="P50" t="str">
        <f t="shared" si="1"/>
        <v>["b5112"]</v>
      </c>
      <c r="Q50" t="str">
        <f t="shared" si="4"/>
        <v>b5112</v>
      </c>
      <c r="R50" s="6" t="str">
        <f t="shared" si="2"/>
        <v>李桂芳</v>
      </c>
      <c r="S50" s="13" t="s">
        <v>351</v>
      </c>
      <c r="T50" s="2">
        <f t="shared" si="5"/>
        <v>0</v>
      </c>
      <c r="U50" s="15" t="str">
        <f t="shared" si="6"/>
        <v>1900</v>
      </c>
      <c r="V50" s="15" t="str">
        <f t="shared" si="7"/>
        <v>1</v>
      </c>
      <c r="W50" s="15" t="str">
        <f t="shared" si="8"/>
        <v>0</v>
      </c>
      <c r="X50" t="s">
        <v>33</v>
      </c>
      <c r="Y50" s="2" t="str">
        <f t="shared" si="9"/>
        <v/>
      </c>
      <c r="Z50" s="15" t="str">
        <f t="shared" si="10"/>
        <v/>
      </c>
      <c r="AA50" s="15" t="str">
        <f t="shared" si="11"/>
        <v/>
      </c>
      <c r="AB50" s="15" t="str">
        <f t="shared" si="12"/>
        <v/>
      </c>
      <c r="AC50" t="s">
        <v>33</v>
      </c>
      <c r="AD50">
        <f t="shared" si="13"/>
        <v>0</v>
      </c>
      <c r="AE50" s="17" t="str">
        <f t="shared" si="0"/>
        <v/>
      </c>
      <c r="AR50" t="s">
        <v>389</v>
      </c>
    </row>
    <row r="51" spans="1:44">
      <c r="A51" t="s">
        <v>285</v>
      </c>
      <c r="B51" t="s">
        <v>286</v>
      </c>
      <c r="D51" s="6" t="str">
        <f t="shared" si="26"/>
        <v>陈奕贞之长孙</v>
      </c>
      <c r="E51" s="6" t="s">
        <v>287</v>
      </c>
      <c r="F51" s="6"/>
      <c r="G51" s="6"/>
      <c r="H51" s="6"/>
      <c r="I51" s="6"/>
      <c r="J51" s="6"/>
      <c r="K51" s="6"/>
      <c r="L51" s="6"/>
      <c r="M51" s="6"/>
      <c r="N51" s="6"/>
      <c r="P51" t="str">
        <f t="shared" si="1"/>
        <v>["b5113"]</v>
      </c>
      <c r="Q51" t="str">
        <f t="shared" si="4"/>
        <v>b5113</v>
      </c>
      <c r="R51" s="6" t="str">
        <f t="shared" si="2"/>
        <v>李鑫</v>
      </c>
      <c r="S51" s="13" t="s">
        <v>352</v>
      </c>
      <c r="T51" s="2">
        <f t="shared" si="5"/>
        <v>0</v>
      </c>
      <c r="U51" s="15" t="str">
        <f t="shared" si="6"/>
        <v>1900</v>
      </c>
      <c r="V51" s="15" t="str">
        <f t="shared" si="7"/>
        <v>1</v>
      </c>
      <c r="W51" s="15" t="str">
        <f t="shared" si="8"/>
        <v>0</v>
      </c>
      <c r="X51" t="s">
        <v>33</v>
      </c>
      <c r="Y51" s="2" t="str">
        <f t="shared" si="9"/>
        <v/>
      </c>
      <c r="Z51" s="15" t="str">
        <f t="shared" si="10"/>
        <v/>
      </c>
      <c r="AA51" s="15" t="str">
        <f t="shared" si="11"/>
        <v/>
      </c>
      <c r="AB51" s="15" t="str">
        <f t="shared" si="12"/>
        <v/>
      </c>
      <c r="AC51" t="s">
        <v>33</v>
      </c>
      <c r="AD51">
        <f t="shared" si="13"/>
        <v>0</v>
      </c>
      <c r="AE51" s="17" t="str">
        <f t="shared" si="0"/>
        <v/>
      </c>
      <c r="AR51" t="s">
        <v>389</v>
      </c>
    </row>
    <row r="52" spans="1:44">
      <c r="A52" t="s">
        <v>288</v>
      </c>
      <c r="B52" t="s">
        <v>194</v>
      </c>
      <c r="C52" t="s">
        <v>275</v>
      </c>
      <c r="D52" s="6" t="str">
        <f t="shared" si="26"/>
        <v>陈奕贞之次子</v>
      </c>
      <c r="E52" s="6" t="s">
        <v>289</v>
      </c>
      <c r="F52" s="7">
        <v>23585</v>
      </c>
      <c r="G52" s="6" t="str">
        <f>TEXT(F52,"[$-130000]YYYY年M月D日")</f>
        <v>1964年6月19日</v>
      </c>
      <c r="H52" s="8" t="str">
        <f>MID("猴鸡狗猪鼠牛虎免龙蛇马羊",MOD(YEAR(F52),12)+1,1)</f>
        <v>龙</v>
      </c>
      <c r="I52" s="6" t="str">
        <f>INDEX({"山羊座","射手座","天蝎座","天秤座","处女座","狮子座","巨蟹座","双子座","金牛座","牧羊座","双鱼座","水瓶座","山羊座"},MATCH(DATE(,MONTH(F52),DAY(F52)),{366,356,327,297,267,236,204,173,142,111,80,49,20},-1))</f>
        <v>狮子座</v>
      </c>
      <c r="J52" s="6"/>
      <c r="K52" s="6"/>
      <c r="L52" s="6"/>
      <c r="M52" s="6"/>
      <c r="N52" s="6"/>
      <c r="P52" t="str">
        <f t="shared" si="1"/>
        <v>["b521"]</v>
      </c>
      <c r="Q52" t="str">
        <f t="shared" si="4"/>
        <v>b521</v>
      </c>
      <c r="R52" s="6" t="str">
        <f t="shared" si="2"/>
        <v>李伯永</v>
      </c>
      <c r="S52" s="13" t="s">
        <v>352</v>
      </c>
      <c r="T52" s="2">
        <f t="shared" si="5"/>
        <v>23585</v>
      </c>
      <c r="U52" s="15" t="str">
        <f t="shared" si="6"/>
        <v>1964</v>
      </c>
      <c r="V52" s="15" t="str">
        <f t="shared" si="7"/>
        <v>7</v>
      </c>
      <c r="W52" s="15" t="str">
        <f t="shared" si="8"/>
        <v>27</v>
      </c>
      <c r="X52" t="s">
        <v>33</v>
      </c>
      <c r="Y52" s="2" t="str">
        <f t="shared" si="9"/>
        <v/>
      </c>
      <c r="Z52" s="15" t="str">
        <f t="shared" si="10"/>
        <v/>
      </c>
      <c r="AA52" s="15" t="str">
        <f t="shared" si="11"/>
        <v/>
      </c>
      <c r="AB52" s="15" t="str">
        <f t="shared" si="12"/>
        <v/>
      </c>
      <c r="AC52" t="s">
        <v>33</v>
      </c>
      <c r="AD52">
        <f t="shared" si="13"/>
        <v>0</v>
      </c>
      <c r="AE52" s="17" t="str">
        <f t="shared" si="0"/>
        <v/>
      </c>
      <c r="AP52" t="str">
        <f>+P53</f>
        <v>["b522"]</v>
      </c>
      <c r="AQ52" t="s">
        <v>412</v>
      </c>
      <c r="AR52" t="s">
        <v>367</v>
      </c>
    </row>
    <row r="53" spans="1:44">
      <c r="A53" t="s">
        <v>290</v>
      </c>
      <c r="B53" t="s">
        <v>198</v>
      </c>
      <c r="D53" s="6" t="str">
        <f t="shared" si="26"/>
        <v>陈奕贞之次媳</v>
      </c>
      <c r="E53" s="6" t="s">
        <v>291</v>
      </c>
      <c r="F53" s="7">
        <v>25787</v>
      </c>
      <c r="G53" s="6" t="str">
        <f>TEXT(F53,"[$-130000]YYYY年M月D日")</f>
        <v>1970年7月6日</v>
      </c>
      <c r="H53" s="8" t="str">
        <f>MID("猴鸡狗猪鼠牛虎免龙蛇马羊",MOD(YEAR(F53),12)+1,1)</f>
        <v>狗</v>
      </c>
      <c r="I53" s="6" t="str">
        <f>INDEX({"山羊座","射手座","天蝎座","天秤座","处女座","狮子座","巨蟹座","双子座","金牛座","牧羊座","双鱼座","水瓶座","山羊座"},MATCH(DATE(,MONTH(F53),DAY(F53)),{366,356,327,297,267,236,204,173,142,111,80,49,20},-1))</f>
        <v>狮子座</v>
      </c>
      <c r="J53" s="6"/>
      <c r="K53" s="6"/>
      <c r="L53" s="6"/>
      <c r="M53" s="6"/>
      <c r="N53" s="6"/>
      <c r="P53" t="str">
        <f t="shared" si="1"/>
        <v>["b522"]</v>
      </c>
      <c r="Q53" t="str">
        <f t="shared" si="4"/>
        <v>b522</v>
      </c>
      <c r="R53" s="6" t="str">
        <f t="shared" si="2"/>
        <v>谢兰钦</v>
      </c>
      <c r="S53" s="13" t="s">
        <v>351</v>
      </c>
      <c r="T53" s="2">
        <f t="shared" si="5"/>
        <v>25787</v>
      </c>
      <c r="U53" s="15" t="str">
        <f t="shared" si="6"/>
        <v>1970</v>
      </c>
      <c r="V53" s="15" t="str">
        <f t="shared" si="7"/>
        <v>8</v>
      </c>
      <c r="W53" s="15" t="str">
        <f t="shared" si="8"/>
        <v>7</v>
      </c>
      <c r="X53" t="s">
        <v>33</v>
      </c>
      <c r="Y53" s="2" t="str">
        <f t="shared" si="9"/>
        <v/>
      </c>
      <c r="Z53" s="15" t="str">
        <f t="shared" si="10"/>
        <v/>
      </c>
      <c r="AA53" s="15" t="str">
        <f t="shared" si="11"/>
        <v/>
      </c>
      <c r="AB53" s="15" t="str">
        <f t="shared" si="12"/>
        <v/>
      </c>
      <c r="AC53" t="s">
        <v>33</v>
      </c>
      <c r="AD53">
        <f t="shared" si="13"/>
        <v>0</v>
      </c>
      <c r="AE53" s="17" t="str">
        <f t="shared" si="0"/>
        <v/>
      </c>
      <c r="AP53" t="str">
        <f>+P52</f>
        <v>["b521"]</v>
      </c>
    </row>
    <row r="54" spans="1:44">
      <c r="A54" t="s">
        <v>292</v>
      </c>
      <c r="B54" t="s">
        <v>202</v>
      </c>
      <c r="D54" s="6" t="str">
        <f t="shared" si="26"/>
        <v>陈奕贞之次孫</v>
      </c>
      <c r="E54" s="6" t="s">
        <v>293</v>
      </c>
      <c r="F54" s="7">
        <v>33489</v>
      </c>
      <c r="G54" s="6" t="str">
        <f>TEXT(F54,"[$-130000]YYYY年M月D日")</f>
        <v>1991年8月1日</v>
      </c>
      <c r="H54" s="8" t="str">
        <f>MID("猴鸡狗猪鼠牛虎免龙蛇马羊",MOD(YEAR(F54),12)+1,1)</f>
        <v>羊</v>
      </c>
      <c r="I54" s="6" t="str">
        <f>INDEX({"山羊座","射手座","天蝎座","天秤座","处女座","狮子座","巨蟹座","双子座","金牛座","牧羊座","双鱼座","水瓶座","山羊座"},MATCH(DATE(,MONTH(F54),DAY(F54)),{366,356,327,297,267,236,204,173,142,111,80,49,20},-1))</f>
        <v>处女座</v>
      </c>
      <c r="J54" s="6"/>
      <c r="K54" s="6"/>
      <c r="L54" s="6"/>
      <c r="M54" s="6"/>
      <c r="N54" s="6"/>
      <c r="P54" t="str">
        <f t="shared" si="1"/>
        <v>["b5211"]</v>
      </c>
      <c r="Q54" t="str">
        <f t="shared" si="4"/>
        <v>b5211</v>
      </c>
      <c r="R54" s="6" t="str">
        <f t="shared" si="2"/>
        <v>李城</v>
      </c>
      <c r="S54" s="13" t="s">
        <v>352</v>
      </c>
      <c r="T54" s="2">
        <f t="shared" si="5"/>
        <v>33489</v>
      </c>
      <c r="U54" s="15" t="str">
        <f t="shared" si="6"/>
        <v>1991</v>
      </c>
      <c r="V54" s="15" t="str">
        <f t="shared" si="7"/>
        <v>9</v>
      </c>
      <c r="W54" s="15" t="str">
        <f t="shared" si="8"/>
        <v>8</v>
      </c>
      <c r="X54" t="s">
        <v>33</v>
      </c>
      <c r="Y54" s="2" t="str">
        <f t="shared" si="9"/>
        <v/>
      </c>
      <c r="Z54" s="15" t="str">
        <f t="shared" si="10"/>
        <v/>
      </c>
      <c r="AA54" s="15" t="str">
        <f t="shared" si="11"/>
        <v/>
      </c>
      <c r="AB54" s="15" t="str">
        <f t="shared" si="12"/>
        <v/>
      </c>
      <c r="AC54" t="s">
        <v>33</v>
      </c>
      <c r="AD54">
        <f t="shared" si="13"/>
        <v>0</v>
      </c>
      <c r="AE54" s="17" t="str">
        <f t="shared" si="0"/>
        <v/>
      </c>
      <c r="AR54" t="s">
        <v>390</v>
      </c>
    </row>
    <row r="55" spans="1:44">
      <c r="A55" t="s">
        <v>294</v>
      </c>
      <c r="B55" t="s">
        <v>295</v>
      </c>
      <c r="D55" s="6" t="str">
        <f t="shared" si="26"/>
        <v>陈奕贞之三孫</v>
      </c>
      <c r="E55" s="6" t="s">
        <v>296</v>
      </c>
      <c r="F55" s="7">
        <v>34535</v>
      </c>
      <c r="G55" s="6" t="str">
        <f>TEXT(F55,"[$-130000]YYYY年M月D日")</f>
        <v>1994年6月12日</v>
      </c>
      <c r="H55" s="8" t="str">
        <f>MID("猴鸡狗猪鼠牛虎免龙蛇马羊",MOD(YEAR(F55),12)+1,1)</f>
        <v>狗</v>
      </c>
      <c r="I55" s="6" t="str">
        <f>INDEX({"山羊座","射手座","天蝎座","天秤座","处女座","狮子座","巨蟹座","双子座","金牛座","牧羊座","双鱼座","水瓶座","山羊座"},MATCH(DATE(,MONTH(F55),DAY(F55)),{366,356,327,297,267,236,204,173,142,111,80,49,20},-1))</f>
        <v>巨蟹座</v>
      </c>
      <c r="J55" s="6"/>
      <c r="K55" s="6"/>
      <c r="L55" s="6"/>
      <c r="M55" s="6"/>
      <c r="N55" s="6"/>
      <c r="P55" t="str">
        <f t="shared" si="1"/>
        <v>["b5212"]</v>
      </c>
      <c r="Q55" t="str">
        <f t="shared" si="4"/>
        <v>b5212</v>
      </c>
      <c r="R55" s="6" t="str">
        <f t="shared" si="2"/>
        <v>李益强</v>
      </c>
      <c r="S55" s="13" t="s">
        <v>352</v>
      </c>
      <c r="T55" s="2">
        <f t="shared" si="5"/>
        <v>34535</v>
      </c>
      <c r="U55" s="15" t="str">
        <f t="shared" si="6"/>
        <v>1994</v>
      </c>
      <c r="V55" s="15" t="str">
        <f t="shared" si="7"/>
        <v>7</v>
      </c>
      <c r="W55" s="15" t="str">
        <f t="shared" si="8"/>
        <v>20</v>
      </c>
      <c r="X55" t="s">
        <v>33</v>
      </c>
      <c r="Y55" s="2" t="str">
        <f t="shared" si="9"/>
        <v/>
      </c>
      <c r="Z55" s="15" t="str">
        <f t="shared" si="10"/>
        <v/>
      </c>
      <c r="AA55" s="15" t="str">
        <f t="shared" si="11"/>
        <v/>
      </c>
      <c r="AB55" s="15" t="str">
        <f t="shared" si="12"/>
        <v/>
      </c>
      <c r="AC55" t="s">
        <v>33</v>
      </c>
      <c r="AD55">
        <f t="shared" si="13"/>
        <v>0</v>
      </c>
      <c r="AE55" s="17" t="str">
        <f t="shared" si="0"/>
        <v/>
      </c>
      <c r="AR55" t="s">
        <v>390</v>
      </c>
    </row>
    <row r="56" spans="1:44">
      <c r="A56" t="s">
        <v>297</v>
      </c>
      <c r="B56" t="s">
        <v>173</v>
      </c>
      <c r="C56" t="s">
        <v>275</v>
      </c>
      <c r="D56" s="6" t="str">
        <f t="shared" si="26"/>
        <v>陈奕贞之長女</v>
      </c>
      <c r="E56" s="6" t="s">
        <v>298</v>
      </c>
      <c r="F56" s="6"/>
      <c r="G56" s="6"/>
      <c r="H56" s="6"/>
      <c r="I56" s="6"/>
      <c r="J56" s="6"/>
      <c r="K56" s="6"/>
      <c r="L56" s="6"/>
      <c r="M56" s="6"/>
      <c r="N56" s="6"/>
      <c r="P56" t="str">
        <f t="shared" si="1"/>
        <v>["b531"]</v>
      </c>
      <c r="Q56" t="str">
        <f t="shared" si="4"/>
        <v>b531</v>
      </c>
      <c r="R56" s="6" t="str">
        <f t="shared" si="2"/>
        <v>李丽彬</v>
      </c>
      <c r="S56" s="13" t="s">
        <v>351</v>
      </c>
      <c r="T56" s="2">
        <f t="shared" si="5"/>
        <v>0</v>
      </c>
      <c r="U56" s="15" t="str">
        <f t="shared" si="6"/>
        <v>1900</v>
      </c>
      <c r="V56" s="15" t="str">
        <f t="shared" si="7"/>
        <v>1</v>
      </c>
      <c r="W56" s="15" t="str">
        <f t="shared" si="8"/>
        <v>0</v>
      </c>
      <c r="X56" t="s">
        <v>33</v>
      </c>
      <c r="Y56" s="2" t="str">
        <f t="shared" si="9"/>
        <v/>
      </c>
      <c r="Z56" s="15" t="str">
        <f t="shared" si="10"/>
        <v/>
      </c>
      <c r="AA56" s="15" t="str">
        <f t="shared" si="11"/>
        <v/>
      </c>
      <c r="AB56" s="15" t="str">
        <f t="shared" si="12"/>
        <v/>
      </c>
      <c r="AC56" t="s">
        <v>33</v>
      </c>
      <c r="AD56">
        <f t="shared" si="13"/>
        <v>0</v>
      </c>
      <c r="AE56" s="17" t="str">
        <f t="shared" si="0"/>
        <v/>
      </c>
      <c r="AP56" t="str">
        <f>+P57</f>
        <v>["b532"]</v>
      </c>
      <c r="AQ56" t="s">
        <v>413</v>
      </c>
      <c r="AR56" t="s">
        <v>367</v>
      </c>
    </row>
    <row r="57" spans="1:44">
      <c r="A57" t="s">
        <v>299</v>
      </c>
      <c r="B57" t="s">
        <v>177</v>
      </c>
      <c r="D57" s="6" t="str">
        <f t="shared" si="26"/>
        <v>陈奕贞之女婿</v>
      </c>
      <c r="E57" s="6" t="s">
        <v>300</v>
      </c>
      <c r="F57" s="6"/>
      <c r="G57" s="6"/>
      <c r="H57" s="6"/>
      <c r="I57" s="6"/>
      <c r="J57" s="6"/>
      <c r="K57" s="6"/>
      <c r="L57" s="6"/>
      <c r="M57" s="6"/>
      <c r="N57" s="6"/>
      <c r="P57" t="str">
        <f t="shared" si="1"/>
        <v>["b532"]</v>
      </c>
      <c r="Q57" t="str">
        <f t="shared" si="4"/>
        <v>b532</v>
      </c>
      <c r="R57" s="6" t="str">
        <f t="shared" si="2"/>
        <v>王爱彬</v>
      </c>
      <c r="S57" s="13" t="s">
        <v>352</v>
      </c>
      <c r="T57" s="2">
        <f t="shared" si="5"/>
        <v>0</v>
      </c>
      <c r="U57" s="15" t="str">
        <f t="shared" si="6"/>
        <v>1900</v>
      </c>
      <c r="V57" s="15" t="str">
        <f t="shared" si="7"/>
        <v>1</v>
      </c>
      <c r="W57" s="15" t="str">
        <f t="shared" si="8"/>
        <v>0</v>
      </c>
      <c r="X57" t="s">
        <v>33</v>
      </c>
      <c r="Y57" s="2" t="str">
        <f t="shared" si="9"/>
        <v/>
      </c>
      <c r="Z57" s="15" t="str">
        <f t="shared" si="10"/>
        <v/>
      </c>
      <c r="AA57" s="15" t="str">
        <f t="shared" si="11"/>
        <v/>
      </c>
      <c r="AB57" s="15" t="str">
        <f t="shared" si="12"/>
        <v/>
      </c>
      <c r="AC57" t="s">
        <v>33</v>
      </c>
      <c r="AD57">
        <f t="shared" si="13"/>
        <v>0</v>
      </c>
      <c r="AE57" s="17" t="str">
        <f t="shared" si="0"/>
        <v/>
      </c>
      <c r="AP57" t="str">
        <f>+P56</f>
        <v>["b531"]</v>
      </c>
    </row>
    <row r="58" spans="1:44">
      <c r="A58" t="s">
        <v>301</v>
      </c>
      <c r="B58" t="s">
        <v>181</v>
      </c>
      <c r="D58" s="6" t="str">
        <f t="shared" si="26"/>
        <v>陈奕贞之外孫</v>
      </c>
      <c r="E58" s="6" t="s">
        <v>302</v>
      </c>
      <c r="F58" s="6"/>
      <c r="G58" s="6"/>
      <c r="H58" s="6"/>
      <c r="I58" s="6"/>
      <c r="J58" s="6"/>
      <c r="K58" s="6"/>
      <c r="L58" s="6"/>
      <c r="M58" s="6"/>
      <c r="N58" s="6"/>
      <c r="P58" t="str">
        <f t="shared" si="1"/>
        <v>["b5311"]</v>
      </c>
      <c r="Q58" t="str">
        <f t="shared" si="4"/>
        <v>b5311</v>
      </c>
      <c r="R58" s="6" t="str">
        <f t="shared" si="2"/>
        <v>王云海</v>
      </c>
      <c r="S58" s="13" t="s">
        <v>352</v>
      </c>
      <c r="T58" s="2">
        <f t="shared" si="5"/>
        <v>0</v>
      </c>
      <c r="U58" s="15" t="str">
        <f t="shared" si="6"/>
        <v>1900</v>
      </c>
      <c r="V58" s="15" t="str">
        <f t="shared" si="7"/>
        <v>1</v>
      </c>
      <c r="W58" s="15" t="str">
        <f t="shared" si="8"/>
        <v>0</v>
      </c>
      <c r="X58" t="s">
        <v>33</v>
      </c>
      <c r="Y58" s="2" t="str">
        <f t="shared" si="9"/>
        <v/>
      </c>
      <c r="Z58" s="15" t="str">
        <f t="shared" si="10"/>
        <v/>
      </c>
      <c r="AA58" s="15" t="str">
        <f t="shared" si="11"/>
        <v/>
      </c>
      <c r="AB58" s="15" t="str">
        <f t="shared" si="12"/>
        <v/>
      </c>
      <c r="AC58" t="s">
        <v>33</v>
      </c>
      <c r="AD58">
        <f t="shared" si="13"/>
        <v>0</v>
      </c>
      <c r="AE58" s="17" t="str">
        <f t="shared" si="0"/>
        <v/>
      </c>
      <c r="AR58" t="s">
        <v>391</v>
      </c>
    </row>
    <row r="59" spans="1:44">
      <c r="A59" t="s">
        <v>303</v>
      </c>
      <c r="B59" t="s">
        <v>250</v>
      </c>
      <c r="C59" t="s">
        <v>275</v>
      </c>
      <c r="D59" s="6" t="str">
        <f t="shared" si="26"/>
        <v>陈奕贞之次女</v>
      </c>
      <c r="E59" s="6" t="s">
        <v>304</v>
      </c>
      <c r="F59" s="6"/>
      <c r="G59" s="6"/>
      <c r="H59" s="6"/>
      <c r="I59" s="6"/>
      <c r="J59" s="6"/>
      <c r="K59" s="6"/>
      <c r="L59" s="6"/>
      <c r="M59" s="6"/>
      <c r="N59" s="6"/>
      <c r="P59" t="str">
        <f t="shared" si="1"/>
        <v>["b541"]</v>
      </c>
      <c r="Q59" t="str">
        <f t="shared" si="4"/>
        <v>b541</v>
      </c>
      <c r="R59" s="6" t="str">
        <f t="shared" si="2"/>
        <v>李丽华</v>
      </c>
      <c r="S59" s="13" t="s">
        <v>351</v>
      </c>
      <c r="T59" s="2">
        <f t="shared" si="5"/>
        <v>0</v>
      </c>
      <c r="U59" s="15" t="str">
        <f t="shared" si="6"/>
        <v>1900</v>
      </c>
      <c r="V59" s="15" t="str">
        <f t="shared" si="7"/>
        <v>1</v>
      </c>
      <c r="W59" s="15" t="str">
        <f t="shared" si="8"/>
        <v>0</v>
      </c>
      <c r="X59" t="s">
        <v>33</v>
      </c>
      <c r="Y59" s="2" t="str">
        <f t="shared" si="9"/>
        <v/>
      </c>
      <c r="Z59" s="15" t="str">
        <f t="shared" si="10"/>
        <v/>
      </c>
      <c r="AA59" s="15" t="str">
        <f t="shared" si="11"/>
        <v/>
      </c>
      <c r="AB59" s="15" t="str">
        <f t="shared" si="12"/>
        <v/>
      </c>
      <c r="AC59" t="s">
        <v>33</v>
      </c>
      <c r="AD59">
        <f t="shared" si="13"/>
        <v>0</v>
      </c>
      <c r="AE59" s="17" t="str">
        <f t="shared" si="0"/>
        <v/>
      </c>
      <c r="AP59" t="str">
        <f>+P60</f>
        <v>["b542"]</v>
      </c>
      <c r="AQ59" t="s">
        <v>414</v>
      </c>
      <c r="AR59" t="s">
        <v>367</v>
      </c>
    </row>
    <row r="60" spans="1:44">
      <c r="A60" t="s">
        <v>305</v>
      </c>
      <c r="B60" t="s">
        <v>177</v>
      </c>
      <c r="D60" s="6" t="str">
        <f t="shared" si="26"/>
        <v>陈奕贞之女婿</v>
      </c>
      <c r="E60" s="6" t="s">
        <v>306</v>
      </c>
      <c r="F60" s="6"/>
      <c r="G60" s="6"/>
      <c r="H60" s="6"/>
      <c r="I60" s="6"/>
      <c r="J60" s="6"/>
      <c r="K60" s="6"/>
      <c r="L60" s="6"/>
      <c r="M60" s="6"/>
      <c r="N60" s="6"/>
      <c r="P60" t="str">
        <f t="shared" si="1"/>
        <v>["b542"]</v>
      </c>
      <c r="Q60" t="str">
        <f t="shared" si="4"/>
        <v>b542</v>
      </c>
      <c r="R60" s="6" t="str">
        <f t="shared" si="2"/>
        <v>刘细俤</v>
      </c>
      <c r="S60" s="13" t="s">
        <v>352</v>
      </c>
      <c r="T60" s="2">
        <f t="shared" si="5"/>
        <v>0</v>
      </c>
      <c r="U60" s="15" t="str">
        <f t="shared" si="6"/>
        <v>1900</v>
      </c>
      <c r="V60" s="15" t="str">
        <f t="shared" si="7"/>
        <v>1</v>
      </c>
      <c r="W60" s="15" t="str">
        <f t="shared" si="8"/>
        <v>0</v>
      </c>
      <c r="X60" t="s">
        <v>33</v>
      </c>
      <c r="Y60" s="2" t="str">
        <f t="shared" si="9"/>
        <v/>
      </c>
      <c r="Z60" s="15" t="str">
        <f t="shared" si="10"/>
        <v/>
      </c>
      <c r="AA60" s="15" t="str">
        <f t="shared" si="11"/>
        <v/>
      </c>
      <c r="AB60" s="15" t="str">
        <f t="shared" si="12"/>
        <v/>
      </c>
      <c r="AC60" t="s">
        <v>33</v>
      </c>
      <c r="AD60">
        <f t="shared" si="13"/>
        <v>0</v>
      </c>
      <c r="AE60" s="17" t="str">
        <f t="shared" si="0"/>
        <v/>
      </c>
      <c r="AP60" t="str">
        <f>+P59</f>
        <v>["b541"]</v>
      </c>
    </row>
    <row r="61" spans="1:44">
      <c r="A61" t="s">
        <v>307</v>
      </c>
      <c r="B61" t="s">
        <v>181</v>
      </c>
      <c r="D61" s="6" t="str">
        <f t="shared" si="26"/>
        <v>陈奕贞之外孫</v>
      </c>
      <c r="E61" s="6" t="s">
        <v>308</v>
      </c>
      <c r="F61" s="6"/>
      <c r="G61" s="6"/>
      <c r="H61" s="6"/>
      <c r="I61" s="6"/>
      <c r="J61" s="6"/>
      <c r="K61" s="6"/>
      <c r="L61" s="6"/>
      <c r="M61" s="6"/>
      <c r="N61" s="6"/>
      <c r="P61" t="str">
        <f t="shared" si="1"/>
        <v>["b5411"]</v>
      </c>
      <c r="Q61" t="str">
        <f t="shared" si="4"/>
        <v>b5411</v>
      </c>
      <c r="R61" s="6" t="str">
        <f t="shared" si="2"/>
        <v>刘必心</v>
      </c>
      <c r="S61" s="13" t="s">
        <v>352</v>
      </c>
      <c r="T61" s="2">
        <f t="shared" si="5"/>
        <v>0</v>
      </c>
      <c r="U61" s="15" t="str">
        <f t="shared" si="6"/>
        <v>1900</v>
      </c>
      <c r="V61" s="15" t="str">
        <f t="shared" si="7"/>
        <v>1</v>
      </c>
      <c r="W61" s="15" t="str">
        <f t="shared" si="8"/>
        <v>0</v>
      </c>
      <c r="X61" t="s">
        <v>33</v>
      </c>
      <c r="Y61" s="2" t="str">
        <f t="shared" si="9"/>
        <v/>
      </c>
      <c r="Z61" s="15" t="str">
        <f t="shared" si="10"/>
        <v/>
      </c>
      <c r="AA61" s="15" t="str">
        <f t="shared" si="11"/>
        <v/>
      </c>
      <c r="AB61" s="15" t="str">
        <f t="shared" si="12"/>
        <v/>
      </c>
      <c r="AC61" t="s">
        <v>33</v>
      </c>
      <c r="AD61">
        <f t="shared" si="13"/>
        <v>0</v>
      </c>
      <c r="AE61" s="17" t="str">
        <f t="shared" si="0"/>
        <v/>
      </c>
      <c r="AR61" t="s">
        <v>392</v>
      </c>
    </row>
    <row r="62" spans="1:44">
      <c r="A62" t="s">
        <v>309</v>
      </c>
      <c r="B62" t="s">
        <v>310</v>
      </c>
      <c r="C62" t="s">
        <v>165</v>
      </c>
      <c r="D62" s="6" t="str">
        <f>C$37&amp;"之"&amp;B62</f>
        <v>陳森銓之四子</v>
      </c>
      <c r="E62" s="6" t="s">
        <v>311</v>
      </c>
      <c r="F62">
        <v>13516</v>
      </c>
      <c r="G62" s="6" t="str">
        <f t="shared" ref="G62:G67" si="27">TEXT(F62,"[$-130000]YYYY年M月D日")</f>
        <v>1936年12月6日</v>
      </c>
      <c r="H62" s="8" t="str">
        <f t="shared" ref="H62:H67" si="28">MID("猴鸡狗猪鼠牛虎免龙蛇马羊",MOD(YEAR(F62),12)+1,1)</f>
        <v>牛</v>
      </c>
      <c r="I62" s="6" t="str">
        <f>INDEX({"山羊座","射手座","天蝎座","天秤座","处女座","狮子座","巨蟹座","双子座","金牛座","牧羊座","双鱼座","水瓶座","山羊座"},MATCH(DATE(,MONTH(F62),DAY(F62)),{366,356,327,297,267,236,204,173,142,111,80,49,20},-1))</f>
        <v>山羊座</v>
      </c>
      <c r="J62" s="6"/>
      <c r="K62" s="6"/>
      <c r="L62" s="6"/>
      <c r="M62" s="6"/>
      <c r="N62" s="6"/>
      <c r="P62" t="str">
        <f t="shared" si="1"/>
        <v>["b61"]</v>
      </c>
      <c r="Q62" t="str">
        <f t="shared" si="4"/>
        <v>b61</v>
      </c>
      <c r="R62" s="6" t="str">
        <f t="shared" si="2"/>
        <v>陈超</v>
      </c>
      <c r="S62" s="13" t="s">
        <v>352</v>
      </c>
      <c r="T62" s="2">
        <f t="shared" si="5"/>
        <v>13516</v>
      </c>
      <c r="U62" s="15" t="str">
        <f t="shared" si="6"/>
        <v>1937</v>
      </c>
      <c r="V62" s="15" t="str">
        <f t="shared" si="7"/>
        <v>1</v>
      </c>
      <c r="W62" s="15" t="str">
        <f t="shared" si="8"/>
        <v>1</v>
      </c>
      <c r="X62" t="s">
        <v>33</v>
      </c>
      <c r="Y62" s="2" t="str">
        <f t="shared" si="9"/>
        <v/>
      </c>
      <c r="Z62" s="15" t="str">
        <f t="shared" si="10"/>
        <v/>
      </c>
      <c r="AA62" s="15" t="str">
        <f t="shared" si="11"/>
        <v/>
      </c>
      <c r="AB62" s="15" t="str">
        <f t="shared" si="12"/>
        <v/>
      </c>
      <c r="AC62" t="s">
        <v>33</v>
      </c>
      <c r="AD62">
        <f t="shared" si="13"/>
        <v>0</v>
      </c>
      <c r="AE62" s="17" t="str">
        <f t="shared" si="0"/>
        <v/>
      </c>
      <c r="AP62" t="str">
        <f>+P63</f>
        <v>["b62"]</v>
      </c>
      <c r="AQ62" t="s">
        <v>415</v>
      </c>
      <c r="AR62" t="s">
        <v>357</v>
      </c>
    </row>
    <row r="63" spans="1:44">
      <c r="A63" t="s">
        <v>312</v>
      </c>
      <c r="B63" t="s">
        <v>313</v>
      </c>
      <c r="D63" s="6" t="str">
        <f>C$37&amp;"之"&amp;B63</f>
        <v>陳森銓之四媳</v>
      </c>
      <c r="E63" s="6" t="s">
        <v>314</v>
      </c>
      <c r="F63" s="7">
        <v>14052</v>
      </c>
      <c r="G63" s="6" t="str">
        <f t="shared" si="27"/>
        <v>1938年5月10日</v>
      </c>
      <c r="H63" s="8" t="str">
        <f t="shared" si="28"/>
        <v>虎</v>
      </c>
      <c r="I63" s="6" t="str">
        <f>INDEX({"山羊座","射手座","天蝎座","天秤座","处女座","狮子座","巨蟹座","双子座","金牛座","牧羊座","双鱼座","水瓶座","山羊座"},MATCH(DATE(,MONTH(F63),DAY(F63)),{366,356,327,297,267,236,204,173,142,111,80,49,20},-1))</f>
        <v>双子座</v>
      </c>
      <c r="J63" s="6"/>
      <c r="K63" s="6"/>
      <c r="L63" s="6"/>
      <c r="M63" s="6"/>
      <c r="N63" s="6"/>
      <c r="P63" t="str">
        <f t="shared" si="1"/>
        <v>["b62"]</v>
      </c>
      <c r="Q63" t="str">
        <f t="shared" si="4"/>
        <v>b62</v>
      </c>
      <c r="R63" s="6" t="str">
        <f t="shared" si="2"/>
        <v>郭瑞金</v>
      </c>
      <c r="S63" s="13" t="s">
        <v>351</v>
      </c>
      <c r="T63" s="2">
        <f t="shared" si="5"/>
        <v>14052</v>
      </c>
      <c r="U63" s="15" t="str">
        <f t="shared" si="6"/>
        <v>1938</v>
      </c>
      <c r="V63" s="15" t="str">
        <f t="shared" si="7"/>
        <v>6</v>
      </c>
      <c r="W63" s="15" t="str">
        <f t="shared" si="8"/>
        <v>21</v>
      </c>
      <c r="X63" t="s">
        <v>33</v>
      </c>
      <c r="Y63" s="2" t="str">
        <f t="shared" si="9"/>
        <v/>
      </c>
      <c r="Z63" s="15" t="str">
        <f t="shared" si="10"/>
        <v/>
      </c>
      <c r="AA63" s="15" t="str">
        <f t="shared" si="11"/>
        <v/>
      </c>
      <c r="AB63" s="15" t="str">
        <f t="shared" si="12"/>
        <v/>
      </c>
      <c r="AC63" t="s">
        <v>33</v>
      </c>
      <c r="AD63">
        <f t="shared" si="13"/>
        <v>0</v>
      </c>
      <c r="AE63" s="17" t="str">
        <f t="shared" si="0"/>
        <v/>
      </c>
      <c r="AP63" t="str">
        <f>+P62</f>
        <v>["b61"]</v>
      </c>
    </row>
    <row r="64" spans="1:44">
      <c r="A64" t="s">
        <v>315</v>
      </c>
      <c r="B64" t="s">
        <v>227</v>
      </c>
      <c r="C64" t="str">
        <f>E62</f>
        <v>陈超</v>
      </c>
      <c r="D64" s="6" t="str">
        <f>C$64&amp;"之"&amp;B64</f>
        <v>陈超之长子</v>
      </c>
      <c r="E64" s="6" t="s">
        <v>316</v>
      </c>
      <c r="F64" s="7">
        <v>24291</v>
      </c>
      <c r="G64" s="6" t="str">
        <f t="shared" si="27"/>
        <v>1966年6月15日</v>
      </c>
      <c r="H64" s="8" t="str">
        <f t="shared" si="28"/>
        <v>马</v>
      </c>
      <c r="I64" s="6" t="str">
        <f>INDEX({"山羊座","射手座","天蝎座","天秤座","处女座","狮子座","巨蟹座","双子座","金牛座","牧羊座","双鱼座","水瓶座","山羊座"},MATCH(DATE(,MONTH(F64),DAY(F64)),{366,356,327,297,267,236,204,173,142,111,80,49,20},-1))</f>
        <v>巨蟹座</v>
      </c>
      <c r="J64" s="6"/>
      <c r="K64" s="6"/>
      <c r="L64" s="6" t="s">
        <v>317</v>
      </c>
      <c r="M64" s="6"/>
      <c r="N64" s="6"/>
      <c r="P64" t="str">
        <f t="shared" si="1"/>
        <v>["b611"]</v>
      </c>
      <c r="Q64" t="str">
        <f t="shared" si="4"/>
        <v>b611</v>
      </c>
      <c r="R64" s="6" t="str">
        <f t="shared" si="2"/>
        <v>陈坚</v>
      </c>
      <c r="S64" s="13" t="s">
        <v>352</v>
      </c>
      <c r="T64" s="2">
        <f t="shared" si="5"/>
        <v>24291</v>
      </c>
      <c r="U64" s="15" t="str">
        <f t="shared" si="6"/>
        <v>1966</v>
      </c>
      <c r="V64" s="15" t="str">
        <f t="shared" si="7"/>
        <v>7</v>
      </c>
      <c r="W64" s="15" t="str">
        <f t="shared" si="8"/>
        <v>3</v>
      </c>
      <c r="X64" t="s">
        <v>33</v>
      </c>
      <c r="Y64" s="2" t="str">
        <f t="shared" si="9"/>
        <v/>
      </c>
      <c r="Z64" s="15" t="str">
        <f t="shared" si="10"/>
        <v/>
      </c>
      <c r="AA64" s="15" t="str">
        <f t="shared" si="11"/>
        <v/>
      </c>
      <c r="AB64" s="15" t="str">
        <f t="shared" si="12"/>
        <v/>
      </c>
      <c r="AC64" t="s">
        <v>33</v>
      </c>
      <c r="AD64">
        <f t="shared" si="13"/>
        <v>0</v>
      </c>
      <c r="AE64" s="17" t="str">
        <f t="shared" si="0"/>
        <v>133-0590-0656</v>
      </c>
      <c r="AP64" t="str">
        <f>+P65</f>
        <v>["b612"]</v>
      </c>
      <c r="AR64" t="s">
        <v>370</v>
      </c>
    </row>
    <row r="65" spans="1:44">
      <c r="A65" t="s">
        <v>318</v>
      </c>
      <c r="B65" t="s">
        <v>230</v>
      </c>
      <c r="D65" s="6" t="str">
        <f>C$64&amp;"之"&amp;B65</f>
        <v>陈超之长媳</v>
      </c>
      <c r="E65" s="6" t="s">
        <v>319</v>
      </c>
      <c r="F65" s="7">
        <v>25367</v>
      </c>
      <c r="G65" s="6" t="str">
        <f t="shared" si="27"/>
        <v>1969年4月29日</v>
      </c>
      <c r="H65" s="8" t="str">
        <f t="shared" si="28"/>
        <v>鸡</v>
      </c>
      <c r="I65" s="6" t="str">
        <f>INDEX({"山羊座","射手座","天蝎座","天秤座","处女座","狮子座","巨蟹座","双子座","金牛座","牧羊座","双鱼座","水瓶座","山羊座"},MATCH(DATE(,MONTH(F65),DAY(F65)),{366,356,327,297,267,236,204,173,142,111,80,49,20},-1))</f>
        <v>双子座</v>
      </c>
      <c r="J65" s="6"/>
      <c r="K65" s="6"/>
      <c r="L65" s="6" t="s">
        <v>320</v>
      </c>
      <c r="M65" s="6"/>
      <c r="N65" s="6"/>
      <c r="P65" t="str">
        <f t="shared" si="1"/>
        <v>["b612"]</v>
      </c>
      <c r="Q65" t="str">
        <f t="shared" si="4"/>
        <v>b612</v>
      </c>
      <c r="R65" s="6" t="str">
        <f t="shared" si="2"/>
        <v>贾东巍</v>
      </c>
      <c r="S65" s="13" t="s">
        <v>351</v>
      </c>
      <c r="T65" s="2">
        <f t="shared" si="5"/>
        <v>25367</v>
      </c>
      <c r="U65" s="15" t="str">
        <f t="shared" si="6"/>
        <v>1969</v>
      </c>
      <c r="V65" s="15" t="str">
        <f t="shared" si="7"/>
        <v>6</v>
      </c>
      <c r="W65" s="15" t="str">
        <f t="shared" si="8"/>
        <v>13</v>
      </c>
      <c r="X65" t="s">
        <v>33</v>
      </c>
      <c r="Y65" s="2" t="str">
        <f t="shared" si="9"/>
        <v/>
      </c>
      <c r="Z65" s="15" t="str">
        <f t="shared" si="10"/>
        <v/>
      </c>
      <c r="AA65" s="15" t="str">
        <f t="shared" si="11"/>
        <v/>
      </c>
      <c r="AB65" s="15" t="str">
        <f t="shared" si="12"/>
        <v/>
      </c>
      <c r="AC65" t="s">
        <v>33</v>
      </c>
      <c r="AD65">
        <f t="shared" si="13"/>
        <v>0</v>
      </c>
      <c r="AE65" s="17" t="str">
        <f t="shared" si="0"/>
        <v>137-0507-7172</v>
      </c>
      <c r="AP65" t="str">
        <f>+P64</f>
        <v>["b611"]</v>
      </c>
    </row>
    <row r="66" spans="1:44">
      <c r="A66" t="s">
        <v>321</v>
      </c>
      <c r="B66" t="s">
        <v>286</v>
      </c>
      <c r="D66" s="6" t="str">
        <f>C$64&amp;"之"&amp;B66</f>
        <v>陈超之长孙</v>
      </c>
      <c r="E66" s="6" t="s">
        <v>322</v>
      </c>
      <c r="F66" s="7">
        <v>34171</v>
      </c>
      <c r="G66" s="6" t="str">
        <f t="shared" si="27"/>
        <v>1993年7月3日</v>
      </c>
      <c r="H66" s="8" t="str">
        <f t="shared" si="28"/>
        <v>鸡</v>
      </c>
      <c r="I66" s="6" t="str">
        <f>INDEX({"山羊座","射手座","天蝎座","天秤座","处女座","狮子座","巨蟹座","双子座","金牛座","牧羊座","双鱼座","水瓶座","山羊座"},MATCH(DATE(,MONTH(F66),DAY(F66)),{366,356,327,297,267,236,204,173,142,111,80,49,20},-1))</f>
        <v>巨蟹座</v>
      </c>
      <c r="J66" s="6"/>
      <c r="K66" s="6"/>
      <c r="L66" s="6"/>
      <c r="M66" s="6"/>
      <c r="N66" s="6"/>
      <c r="P66" t="str">
        <f t="shared" si="1"/>
        <v>["b6111"]</v>
      </c>
      <c r="Q66" t="str">
        <f t="shared" si="4"/>
        <v>b6111</v>
      </c>
      <c r="R66" s="6" t="str">
        <f t="shared" si="2"/>
        <v>陈嘉骁</v>
      </c>
      <c r="S66" s="13" t="s">
        <v>352</v>
      </c>
      <c r="T66" s="2">
        <f t="shared" si="5"/>
        <v>34171</v>
      </c>
      <c r="U66" s="15" t="str">
        <f t="shared" si="6"/>
        <v>1993</v>
      </c>
      <c r="V66" s="15" t="str">
        <f t="shared" si="7"/>
        <v>7</v>
      </c>
      <c r="W66" s="15" t="str">
        <f t="shared" si="8"/>
        <v>21</v>
      </c>
      <c r="X66" t="s">
        <v>33</v>
      </c>
      <c r="Y66" s="2" t="str">
        <f t="shared" si="9"/>
        <v/>
      </c>
      <c r="Z66" s="15" t="str">
        <f t="shared" si="10"/>
        <v/>
      </c>
      <c r="AA66" s="15" t="str">
        <f t="shared" si="11"/>
        <v/>
      </c>
      <c r="AB66" s="15" t="str">
        <f t="shared" si="12"/>
        <v/>
      </c>
      <c r="AC66" t="s">
        <v>33</v>
      </c>
      <c r="AD66">
        <f t="shared" si="13"/>
        <v>0</v>
      </c>
      <c r="AE66" s="17" t="str">
        <f t="shared" si="0"/>
        <v/>
      </c>
      <c r="AQ66" t="s">
        <v>416</v>
      </c>
      <c r="AR66" t="s">
        <v>393</v>
      </c>
    </row>
    <row r="67" spans="1:44">
      <c r="A67" t="s">
        <v>323</v>
      </c>
      <c r="B67" t="s">
        <v>250</v>
      </c>
      <c r="C67" t="str">
        <f>C64</f>
        <v>陈超</v>
      </c>
      <c r="D67" s="6" t="str">
        <f>C$64&amp;"之"&amp;B67</f>
        <v>陈超之次女</v>
      </c>
      <c r="E67" s="6" t="s">
        <v>324</v>
      </c>
      <c r="F67" s="7">
        <v>26895</v>
      </c>
      <c r="G67" s="6" t="str">
        <f t="shared" si="27"/>
        <v>1973年7月21日</v>
      </c>
      <c r="H67" s="8" t="str">
        <f t="shared" si="28"/>
        <v>牛</v>
      </c>
      <c r="I67" s="6" t="str">
        <f>INDEX({"山羊座","射手座","天蝎座","天秤座","处女座","狮子座","巨蟹座","双子座","金牛座","牧羊座","双鱼座","水瓶座","山羊座"},MATCH(DATE(,MONTH(F67),DAY(F67)),{366,356,327,297,267,236,204,173,142,111,80,49,20},-1))</f>
        <v>狮子座</v>
      </c>
      <c r="J67" s="6"/>
      <c r="K67" s="6"/>
      <c r="L67" s="11" t="s">
        <v>325</v>
      </c>
      <c r="M67" s="6"/>
      <c r="N67" s="6"/>
      <c r="P67" t="str">
        <f t="shared" si="1"/>
        <v>["b621"]</v>
      </c>
      <c r="Q67" t="str">
        <f t="shared" si="4"/>
        <v>b621</v>
      </c>
      <c r="R67" s="6" t="str">
        <f t="shared" si="2"/>
        <v>陈炜</v>
      </c>
      <c r="S67" s="13" t="s">
        <v>351</v>
      </c>
      <c r="T67" s="2">
        <f t="shared" si="5"/>
        <v>26895</v>
      </c>
      <c r="U67" s="15" t="str">
        <f t="shared" si="6"/>
        <v>1973</v>
      </c>
      <c r="V67" s="15" t="str">
        <f t="shared" si="7"/>
        <v>8</v>
      </c>
      <c r="W67" s="15" t="str">
        <f t="shared" si="8"/>
        <v>19</v>
      </c>
      <c r="X67" t="s">
        <v>33</v>
      </c>
      <c r="Y67" s="2" t="str">
        <f t="shared" si="9"/>
        <v/>
      </c>
      <c r="Z67" s="15" t="str">
        <f t="shared" si="10"/>
        <v/>
      </c>
      <c r="AA67" s="15" t="str">
        <f t="shared" si="11"/>
        <v/>
      </c>
      <c r="AB67" s="15" t="str">
        <f t="shared" si="12"/>
        <v/>
      </c>
      <c r="AC67" t="s">
        <v>33</v>
      </c>
      <c r="AD67">
        <f t="shared" si="13"/>
        <v>0</v>
      </c>
      <c r="AE67" s="17" t="str">
        <f t="shared" ref="AE67:AE76" si="29">IF(L67&lt;&gt;"",L67,"")</f>
        <v>135-0935-6032</v>
      </c>
      <c r="AR67" t="s">
        <v>370</v>
      </c>
    </row>
    <row r="68" spans="1:44">
      <c r="A68" t="s">
        <v>326</v>
      </c>
      <c r="B68" t="s">
        <v>327</v>
      </c>
      <c r="C68" t="s">
        <v>165</v>
      </c>
      <c r="D68" s="6" t="str">
        <f>C$37&amp;"之"&amp;B68</f>
        <v>陳森銓之五子</v>
      </c>
      <c r="E68" s="6" t="s">
        <v>328</v>
      </c>
      <c r="F68" s="7">
        <v>15705</v>
      </c>
      <c r="G68" s="6" t="str">
        <f t="shared" ref="G68:G73" si="30">TEXT(F68,"[$-130000]YYYY年M月D日")</f>
        <v>1942年12月9日</v>
      </c>
      <c r="H68" s="8" t="str">
        <f t="shared" ref="H68:H73" si="31">MID("猴鸡狗猪鼠牛虎免龙蛇马羊",MOD(YEAR(F68),12)+1,1)</f>
        <v>马</v>
      </c>
      <c r="I68" s="6" t="str">
        <f>INDEX({"山羊座","射手座","天蝎座","天秤座","处女座","狮子座","巨蟹座","双子座","金牛座","牧羊座","双鱼座","水瓶座","山羊座"},MATCH(DATE(,MONTH(F68),DAY(F68)),{366,356,327,297,267,236,204,173,142,111,80,49,20},-1))</f>
        <v>山羊座</v>
      </c>
      <c r="J68" s="6"/>
      <c r="K68" s="6"/>
      <c r="L68" s="6" t="s">
        <v>329</v>
      </c>
      <c r="M68" s="6"/>
      <c r="N68" s="6"/>
      <c r="P68" t="str">
        <f t="shared" ref="P68:P76" si="32">CONCATENATE("[","""",A68,"""","]")</f>
        <v>["b71"]</v>
      </c>
      <c r="Q68" t="str">
        <f t="shared" si="4"/>
        <v>b71</v>
      </c>
      <c r="R68" s="6" t="str">
        <f t="shared" si="2"/>
        <v>陈永</v>
      </c>
      <c r="S68" s="13" t="s">
        <v>352</v>
      </c>
      <c r="T68" s="2">
        <f t="shared" si="5"/>
        <v>15705</v>
      </c>
      <c r="U68" s="15" t="str">
        <f t="shared" si="6"/>
        <v>1942</v>
      </c>
      <c r="V68" s="15" t="str">
        <f t="shared" si="7"/>
        <v>12</v>
      </c>
      <c r="W68" s="15" t="str">
        <f t="shared" si="8"/>
        <v>30</v>
      </c>
      <c r="X68" t="s">
        <v>33</v>
      </c>
      <c r="Y68" s="2" t="str">
        <f t="shared" si="9"/>
        <v/>
      </c>
      <c r="Z68" s="15" t="str">
        <f t="shared" si="10"/>
        <v/>
      </c>
      <c r="AA68" s="15" t="str">
        <f t="shared" si="11"/>
        <v/>
      </c>
      <c r="AB68" s="15" t="str">
        <f t="shared" si="12"/>
        <v/>
      </c>
      <c r="AC68" t="s">
        <v>33</v>
      </c>
      <c r="AD68">
        <f t="shared" si="13"/>
        <v>0</v>
      </c>
      <c r="AE68" s="17" t="str">
        <f t="shared" si="29"/>
        <v>138-0875-5892</v>
      </c>
      <c r="AP68" t="str">
        <f>+P69</f>
        <v>["b72"]</v>
      </c>
      <c r="AQ68" t="s">
        <v>423</v>
      </c>
      <c r="AR68" t="s">
        <v>357</v>
      </c>
    </row>
    <row r="69" spans="1:44">
      <c r="A69" t="s">
        <v>330</v>
      </c>
      <c r="B69" t="s">
        <v>331</v>
      </c>
      <c r="D69" s="6" t="str">
        <f>C$37&amp;"之"&amp;B69</f>
        <v>陳森銓之五媳</v>
      </c>
      <c r="E69" s="6" t="s">
        <v>332</v>
      </c>
      <c r="F69" s="7">
        <v>16278</v>
      </c>
      <c r="G69" s="6" t="str">
        <f t="shared" si="30"/>
        <v>1944年6月22日</v>
      </c>
      <c r="H69" s="8" t="str">
        <f t="shared" si="31"/>
        <v>猴</v>
      </c>
      <c r="I69" s="6" t="str">
        <f>INDEX({"山羊座","射手座","天蝎座","天秤座","处女座","狮子座","巨蟹座","双子座","金牛座","牧羊座","双鱼座","水瓶座","山羊座"},MATCH(DATE(,MONTH(F69),DAY(F69)),{366,356,327,297,267,236,204,173,142,111,80,49,20},-1))</f>
        <v>狮子座</v>
      </c>
      <c r="J69" s="6"/>
      <c r="K69" s="6"/>
      <c r="L69" s="6"/>
      <c r="M69" s="6"/>
      <c r="N69" s="6"/>
      <c r="P69" t="str">
        <f t="shared" si="32"/>
        <v>["b72"]</v>
      </c>
      <c r="Q69" t="str">
        <f t="shared" si="4"/>
        <v>b72</v>
      </c>
      <c r="R69" s="6" t="str">
        <f t="shared" ref="R69:R76" si="33">E69</f>
        <v>黄永芬</v>
      </c>
      <c r="S69" s="13" t="s">
        <v>351</v>
      </c>
      <c r="T69" s="2">
        <f t="shared" si="5"/>
        <v>16278</v>
      </c>
      <c r="U69" s="15" t="str">
        <f t="shared" si="6"/>
        <v>1944</v>
      </c>
      <c r="V69" s="15" t="str">
        <f t="shared" si="7"/>
        <v>7</v>
      </c>
      <c r="W69" s="15" t="str">
        <f t="shared" si="8"/>
        <v>25</v>
      </c>
      <c r="X69" t="s">
        <v>33</v>
      </c>
      <c r="Y69" s="2" t="str">
        <f t="shared" si="9"/>
        <v/>
      </c>
      <c r="Z69" s="15" t="str">
        <f t="shared" si="10"/>
        <v/>
      </c>
      <c r="AA69" s="15" t="str">
        <f t="shared" si="11"/>
        <v/>
      </c>
      <c r="AB69" s="15" t="str">
        <f t="shared" si="12"/>
        <v/>
      </c>
      <c r="AC69" t="s">
        <v>33</v>
      </c>
      <c r="AD69">
        <f t="shared" si="13"/>
        <v>0</v>
      </c>
      <c r="AE69" s="17" t="str">
        <f t="shared" si="29"/>
        <v/>
      </c>
      <c r="AP69" t="str">
        <f>+P68</f>
        <v>["b71"]</v>
      </c>
    </row>
    <row r="70" spans="1:44">
      <c r="A70" t="s">
        <v>333</v>
      </c>
      <c r="B70" t="s">
        <v>173</v>
      </c>
      <c r="C70" t="str">
        <f>E68</f>
        <v>陈永</v>
      </c>
      <c r="D70" s="6" t="str">
        <f t="shared" ref="D70:D76" si="34">C$70&amp;"之"&amp;B70</f>
        <v>陈永之長女</v>
      </c>
      <c r="E70" s="6" t="s">
        <v>334</v>
      </c>
      <c r="F70" s="7">
        <v>26904</v>
      </c>
      <c r="G70" s="6" t="str">
        <f t="shared" si="30"/>
        <v>1973年8月1日</v>
      </c>
      <c r="H70" s="8" t="str">
        <f t="shared" si="31"/>
        <v>牛</v>
      </c>
      <c r="I70" s="6" t="str">
        <f>INDEX({"山羊座","射手座","天蝎座","天秤座","处女座","狮子座","巨蟹座","双子座","金牛座","牧羊座","双鱼座","水瓶座","山羊座"},MATCH(DATE(,MONTH(F70),DAY(F70)),{366,356,327,297,267,236,204,173,142,111,80,49,20},-1))</f>
        <v>处女座</v>
      </c>
      <c r="J70" s="6"/>
      <c r="K70" s="6"/>
      <c r="L70" s="6" t="s">
        <v>335</v>
      </c>
      <c r="M70" s="6"/>
      <c r="N70" s="6"/>
      <c r="P70" t="str">
        <f t="shared" si="32"/>
        <v>["b711"]</v>
      </c>
      <c r="Q70" t="str">
        <f t="shared" si="4"/>
        <v>b711</v>
      </c>
      <c r="R70" s="6" t="str">
        <f t="shared" si="33"/>
        <v>陈旻瑜</v>
      </c>
      <c r="S70" s="13" t="s">
        <v>351</v>
      </c>
      <c r="T70" s="2">
        <f t="shared" si="5"/>
        <v>26904</v>
      </c>
      <c r="U70" s="15" t="str">
        <f t="shared" si="6"/>
        <v>1973</v>
      </c>
      <c r="V70" s="15" t="str">
        <f t="shared" si="7"/>
        <v>8</v>
      </c>
      <c r="W70" s="15" t="str">
        <f t="shared" si="8"/>
        <v>28</v>
      </c>
      <c r="X70" t="s">
        <v>33</v>
      </c>
      <c r="Y70" s="2" t="str">
        <f t="shared" si="9"/>
        <v/>
      </c>
      <c r="Z70" s="15" t="str">
        <f t="shared" si="10"/>
        <v/>
      </c>
      <c r="AA70" s="15" t="str">
        <f t="shared" si="11"/>
        <v/>
      </c>
      <c r="AB70" s="15" t="str">
        <f t="shared" si="12"/>
        <v/>
      </c>
      <c r="AC70" t="s">
        <v>33</v>
      </c>
      <c r="AD70">
        <f t="shared" si="13"/>
        <v>0</v>
      </c>
      <c r="AE70" s="17" t="str">
        <f t="shared" si="29"/>
        <v>136-3222-1811</v>
      </c>
      <c r="AP70" t="str">
        <f>+P71</f>
        <v>["b712"]</v>
      </c>
      <c r="AQ70" t="s">
        <v>424</v>
      </c>
      <c r="AR70" t="s">
        <v>371</v>
      </c>
    </row>
    <row r="71" spans="1:44">
      <c r="A71" t="s">
        <v>336</v>
      </c>
      <c r="B71" t="s">
        <v>177</v>
      </c>
      <c r="D71" s="6" t="str">
        <f t="shared" si="34"/>
        <v>陈永之女婿</v>
      </c>
      <c r="E71" s="6" t="s">
        <v>337</v>
      </c>
      <c r="F71" s="7">
        <v>26536</v>
      </c>
      <c r="G71" s="6" t="str">
        <f t="shared" si="30"/>
        <v>1972年7月17日</v>
      </c>
      <c r="H71" s="8" t="str">
        <f t="shared" si="31"/>
        <v>鼠</v>
      </c>
      <c r="I71" s="6" t="str">
        <f>INDEX({"山羊座","射手座","天蝎座","天秤座","处女座","狮子座","巨蟹座","双子座","金牛座","牧羊座","双鱼座","水瓶座","山羊座"},MATCH(DATE(,MONTH(F71),DAY(F71)),{366,356,327,297,267,236,204,173,142,111,80,49,20},-1))</f>
        <v>处女座</v>
      </c>
      <c r="J71" s="6"/>
      <c r="K71" s="6"/>
      <c r="L71" s="6"/>
      <c r="M71" s="6"/>
      <c r="N71" s="6"/>
      <c r="P71" t="str">
        <f t="shared" si="32"/>
        <v>["b712"]</v>
      </c>
      <c r="Q71" t="str">
        <f t="shared" ref="Q71:Q76" si="35">+A71</f>
        <v>b712</v>
      </c>
      <c r="R71" s="6" t="str">
        <f t="shared" si="33"/>
        <v>郭吉安</v>
      </c>
      <c r="S71" s="13" t="s">
        <v>352</v>
      </c>
      <c r="T71" s="2">
        <f t="shared" ref="T71:T76" si="36">F71</f>
        <v>26536</v>
      </c>
      <c r="U71" s="15" t="str">
        <f t="shared" ref="U71:U76" si="37">TEXT($T71,"yyyy")</f>
        <v>1972</v>
      </c>
      <c r="V71" s="15" t="str">
        <f t="shared" ref="V71:V76" si="38">TEXT($T71,"m")</f>
        <v>8</v>
      </c>
      <c r="W71" s="15" t="str">
        <f t="shared" ref="W71:W76" si="39">TEXT($T71,"d")</f>
        <v>25</v>
      </c>
      <c r="X71" t="s">
        <v>33</v>
      </c>
      <c r="Y71" s="2" t="str">
        <f t="shared" ref="Y71:Y76" si="40">IF(J71&lt;&gt;"",J71,"")</f>
        <v/>
      </c>
      <c r="Z71" s="15" t="str">
        <f t="shared" ref="Z71:Z76" si="41">TEXT($Y71,"yyyy")</f>
        <v/>
      </c>
      <c r="AA71" s="15" t="str">
        <f t="shared" ref="AA71:AA76" si="42">TEXT($Y71,"m")</f>
        <v/>
      </c>
      <c r="AB71" s="15" t="str">
        <f t="shared" ref="AB71:AB76" si="43">TEXT($Y71,"d")</f>
        <v/>
      </c>
      <c r="AC71" t="s">
        <v>33</v>
      </c>
      <c r="AD71">
        <f t="shared" ref="AD71:AD76" si="44">IF(Y71&lt;&gt;"",1,0)</f>
        <v>0</v>
      </c>
      <c r="AE71" s="17" t="str">
        <f t="shared" si="29"/>
        <v/>
      </c>
      <c r="AP71" t="str">
        <f>+P70</f>
        <v>["b711"]</v>
      </c>
    </row>
    <row r="72" spans="1:44">
      <c r="A72" t="s">
        <v>338</v>
      </c>
      <c r="B72" t="s">
        <v>181</v>
      </c>
      <c r="D72" s="6" t="str">
        <f t="shared" si="34"/>
        <v>陈永之外孫</v>
      </c>
      <c r="E72" s="6" t="s">
        <v>339</v>
      </c>
      <c r="F72" s="7">
        <v>37575</v>
      </c>
      <c r="G72" s="6"/>
      <c r="H72" s="8" t="str">
        <f t="shared" si="31"/>
        <v>马</v>
      </c>
      <c r="I72" s="6" t="str">
        <f>INDEX({"山羊座","射手座","天蝎座","天秤座","处女座","狮子座","巨蟹座","双子座","金牛座","牧羊座","双鱼座","水瓶座","山羊座"},MATCH(DATE(,MONTH(F72),DAY(F72)),{366,356,327,297,267,236,204,173,142,111,80,49,20},-1))</f>
        <v>天蝎座</v>
      </c>
      <c r="J72" s="6"/>
      <c r="K72" s="6"/>
      <c r="L72" s="6"/>
      <c r="M72" s="6"/>
      <c r="N72" s="6"/>
      <c r="P72" t="str">
        <f t="shared" si="32"/>
        <v>["b7111"]</v>
      </c>
      <c r="Q72" t="str">
        <f t="shared" si="35"/>
        <v>b7111</v>
      </c>
      <c r="R72" s="6" t="str">
        <f t="shared" si="33"/>
        <v>郭奕霏</v>
      </c>
      <c r="S72" s="13" t="s">
        <v>352</v>
      </c>
      <c r="T72" s="2">
        <f t="shared" si="36"/>
        <v>37575</v>
      </c>
      <c r="U72" s="15" t="str">
        <f t="shared" si="37"/>
        <v>2002</v>
      </c>
      <c r="V72" s="15" t="str">
        <f t="shared" si="38"/>
        <v>11</v>
      </c>
      <c r="W72" s="15" t="str">
        <f t="shared" si="39"/>
        <v>15</v>
      </c>
      <c r="X72" t="s">
        <v>33</v>
      </c>
      <c r="Y72" s="2" t="str">
        <f t="shared" si="40"/>
        <v/>
      </c>
      <c r="Z72" s="15" t="str">
        <f t="shared" si="41"/>
        <v/>
      </c>
      <c r="AA72" s="15" t="str">
        <f t="shared" si="42"/>
        <v/>
      </c>
      <c r="AB72" s="15" t="str">
        <f t="shared" si="43"/>
        <v/>
      </c>
      <c r="AC72" t="s">
        <v>33</v>
      </c>
      <c r="AD72">
        <f t="shared" si="44"/>
        <v>0</v>
      </c>
      <c r="AE72" s="17" t="str">
        <f t="shared" si="29"/>
        <v/>
      </c>
      <c r="AR72" t="s">
        <v>394</v>
      </c>
    </row>
    <row r="73" spans="1:44">
      <c r="A73" t="s">
        <v>340</v>
      </c>
      <c r="B73" t="s">
        <v>227</v>
      </c>
      <c r="C73" t="str">
        <f>E68</f>
        <v>陈永</v>
      </c>
      <c r="D73" s="6" t="str">
        <f t="shared" si="34"/>
        <v>陈永之长子</v>
      </c>
      <c r="E73" s="6" t="s">
        <v>341</v>
      </c>
      <c r="F73" s="7">
        <v>29386</v>
      </c>
      <c r="G73" s="6" t="str">
        <f t="shared" si="30"/>
        <v>1980年5月2日</v>
      </c>
      <c r="H73" s="8" t="str">
        <f t="shared" si="31"/>
        <v>猴</v>
      </c>
      <c r="I73" s="6" t="str">
        <f>INDEX({"山羊座","射手座","天蝎座","天秤座","处女座","狮子座","巨蟹座","双子座","金牛座","牧羊座","双鱼座","水瓶座","山羊座"},MATCH(DATE(,MONTH(F73),DAY(F73)),{366,356,327,297,267,236,204,173,142,111,80,49,20},-1))</f>
        <v>双子座</v>
      </c>
      <c r="J73" s="6"/>
      <c r="K73" s="6"/>
      <c r="L73" s="6" t="s">
        <v>342</v>
      </c>
      <c r="M73" s="6"/>
      <c r="N73" s="6"/>
      <c r="P73" t="str">
        <f t="shared" si="32"/>
        <v>["b721"]</v>
      </c>
      <c r="Q73" t="str">
        <f t="shared" si="35"/>
        <v>b721</v>
      </c>
      <c r="R73" s="6" t="str">
        <f t="shared" si="33"/>
        <v>陈旻波</v>
      </c>
      <c r="S73" s="13" t="s">
        <v>352</v>
      </c>
      <c r="T73" s="2">
        <f t="shared" si="36"/>
        <v>29386</v>
      </c>
      <c r="U73" s="15" t="str">
        <f t="shared" si="37"/>
        <v>1980</v>
      </c>
      <c r="V73" s="15" t="str">
        <f t="shared" si="38"/>
        <v>6</v>
      </c>
      <c r="W73" s="15" t="str">
        <f t="shared" si="39"/>
        <v>14</v>
      </c>
      <c r="X73" t="s">
        <v>33</v>
      </c>
      <c r="Y73" s="2" t="str">
        <f t="shared" si="40"/>
        <v/>
      </c>
      <c r="Z73" s="15" t="str">
        <f t="shared" si="41"/>
        <v/>
      </c>
      <c r="AA73" s="15" t="str">
        <f t="shared" si="42"/>
        <v/>
      </c>
      <c r="AB73" s="15" t="str">
        <f t="shared" si="43"/>
        <v/>
      </c>
      <c r="AC73" t="s">
        <v>33</v>
      </c>
      <c r="AD73">
        <f t="shared" si="44"/>
        <v>0</v>
      </c>
      <c r="AE73" s="17" t="str">
        <f t="shared" si="29"/>
        <v>135-2916-4523</v>
      </c>
      <c r="AP73" t="str">
        <f>+P74</f>
        <v>["b722"]</v>
      </c>
      <c r="AQ73" t="s">
        <v>425</v>
      </c>
      <c r="AR73" t="s">
        <v>371</v>
      </c>
    </row>
    <row r="74" spans="1:44">
      <c r="A74" t="s">
        <v>343</v>
      </c>
      <c r="B74" t="s">
        <v>344</v>
      </c>
      <c r="D74" s="6" t="str">
        <f t="shared" si="34"/>
        <v>陈永之长媳</v>
      </c>
      <c r="E74" s="6" t="s">
        <v>345</v>
      </c>
      <c r="F74" s="7">
        <v>31530</v>
      </c>
      <c r="G74" s="6" t="str">
        <f>TEXT(F74,"[$-130000]YYYY年M月D日")</f>
        <v>1986年3月20日</v>
      </c>
      <c r="H74" s="8" t="str">
        <f>MID("猴鸡狗猪鼠牛虎免龙蛇马羊",MOD(YEAR(F74),12)+1,1)</f>
        <v>虎</v>
      </c>
      <c r="I74" s="6" t="str">
        <f>INDEX({"山羊座","射手座","天蝎座","天秤座","处女座","狮子座","巨蟹座","双子座","金牛座","牧羊座","双鱼座","水瓶座","山羊座"},MATCH(DATE(,MONTH(F74),DAY(F74)),{366,356,327,297,267,236,204,173,142,111,80,49,20},-1))</f>
        <v>金牛座</v>
      </c>
      <c r="J74" s="6"/>
      <c r="K74" s="6"/>
      <c r="L74" s="6"/>
      <c r="M74" s="6"/>
      <c r="N74" s="6"/>
      <c r="P74" t="str">
        <f t="shared" si="32"/>
        <v>["b722"]</v>
      </c>
      <c r="Q74" t="str">
        <f t="shared" si="35"/>
        <v>b722</v>
      </c>
      <c r="R74" s="6" t="str">
        <f t="shared" si="33"/>
        <v>周原馨</v>
      </c>
      <c r="S74" s="13" t="s">
        <v>351</v>
      </c>
      <c r="T74" s="2">
        <f t="shared" si="36"/>
        <v>31530</v>
      </c>
      <c r="U74" s="15" t="str">
        <f t="shared" si="37"/>
        <v>1986</v>
      </c>
      <c r="V74" s="15" t="str">
        <f t="shared" si="38"/>
        <v>4</v>
      </c>
      <c r="W74" s="15" t="str">
        <f t="shared" si="39"/>
        <v>28</v>
      </c>
      <c r="X74" t="s">
        <v>33</v>
      </c>
      <c r="Y74" s="2" t="str">
        <f t="shared" si="40"/>
        <v/>
      </c>
      <c r="Z74" s="15" t="str">
        <f t="shared" si="41"/>
        <v/>
      </c>
      <c r="AA74" s="15" t="str">
        <f t="shared" si="42"/>
        <v/>
      </c>
      <c r="AB74" s="15" t="str">
        <f t="shared" si="43"/>
        <v/>
      </c>
      <c r="AC74" t="s">
        <v>33</v>
      </c>
      <c r="AD74">
        <f t="shared" si="44"/>
        <v>0</v>
      </c>
      <c r="AE74" s="17" t="str">
        <f t="shared" si="29"/>
        <v/>
      </c>
      <c r="AP74" t="str">
        <f>+P73</f>
        <v>["b721"]</v>
      </c>
    </row>
    <row r="75" spans="1:44">
      <c r="A75" t="s">
        <v>346</v>
      </c>
      <c r="B75" t="s">
        <v>347</v>
      </c>
      <c r="D75" s="6" t="str">
        <f t="shared" si="34"/>
        <v>陈永之长孫</v>
      </c>
      <c r="E75" s="6" t="s">
        <v>348</v>
      </c>
      <c r="F75" s="7">
        <v>41989</v>
      </c>
      <c r="G75" s="6" t="str">
        <f>TEXT(F75,"[$-130000]YYYY年M月D日")</f>
        <v>2014年11月25日</v>
      </c>
      <c r="H75" s="8" t="str">
        <f>MID("猴鸡狗猪鼠牛虎免龙蛇马羊",MOD(YEAR(F75),12)+1,1)</f>
        <v>马</v>
      </c>
      <c r="I75" s="6" t="str">
        <f>INDEX({"山羊座","射手座","天蝎座","天秤座","处女座","狮子座","巨蟹座","双子座","金牛座","牧羊座","双鱼座","水瓶座","山羊座"},MATCH(DATE(,MONTH(F75),DAY(F75)),{366,356,327,297,267,236,204,173,142,111,80,49,20},-1))</f>
        <v>射手座</v>
      </c>
      <c r="J75" s="6"/>
      <c r="K75" s="6"/>
      <c r="L75" s="6"/>
      <c r="M75" s="6"/>
      <c r="N75" s="6"/>
      <c r="P75" t="str">
        <f t="shared" si="32"/>
        <v>["b7211"]</v>
      </c>
      <c r="Q75" t="str">
        <f t="shared" si="35"/>
        <v>b7211</v>
      </c>
      <c r="R75" s="6" t="str">
        <f t="shared" si="33"/>
        <v>陈俞宏</v>
      </c>
      <c r="S75" s="13" t="s">
        <v>352</v>
      </c>
      <c r="T75" s="2">
        <f t="shared" si="36"/>
        <v>41989</v>
      </c>
      <c r="U75" s="15" t="str">
        <f t="shared" si="37"/>
        <v>2014</v>
      </c>
      <c r="V75" s="15" t="str">
        <f t="shared" si="38"/>
        <v>12</v>
      </c>
      <c r="W75" s="15" t="str">
        <f t="shared" si="39"/>
        <v>16</v>
      </c>
      <c r="X75" t="s">
        <v>33</v>
      </c>
      <c r="Y75" s="2" t="str">
        <f t="shared" si="40"/>
        <v/>
      </c>
      <c r="Z75" s="15" t="str">
        <f t="shared" si="41"/>
        <v/>
      </c>
      <c r="AA75" s="15" t="str">
        <f t="shared" si="42"/>
        <v/>
      </c>
      <c r="AB75" s="15" t="str">
        <f t="shared" si="43"/>
        <v/>
      </c>
      <c r="AC75" t="s">
        <v>33</v>
      </c>
      <c r="AD75">
        <f t="shared" si="44"/>
        <v>0</v>
      </c>
      <c r="AE75" s="17" t="str">
        <f t="shared" si="29"/>
        <v/>
      </c>
      <c r="AR75" t="s">
        <v>395</v>
      </c>
    </row>
    <row r="76" spans="1:44">
      <c r="A76" t="s">
        <v>349</v>
      </c>
      <c r="B76" t="s">
        <v>207</v>
      </c>
      <c r="D76" s="6" t="str">
        <f t="shared" si="34"/>
        <v>陈永之孫女</v>
      </c>
      <c r="E76" s="6" t="s">
        <v>350</v>
      </c>
      <c r="F76" s="7">
        <v>42800</v>
      </c>
      <c r="G76" s="6"/>
      <c r="H76" s="8" t="str">
        <f>MID("猴鸡狗猪鼠牛虎免龙蛇马羊",MOD(YEAR(F76),12)+1,1)</f>
        <v>鸡</v>
      </c>
      <c r="I76" s="6" t="str">
        <f>INDEX({"山羊座","射手座","天蝎座","天秤座","处女座","狮子座","巨蟹座","双子座","金牛座","牧羊座","双鱼座","水瓶座","山羊座"},MATCH(DATE(,MONTH(F76),DAY(F76)),{366,356,327,297,267,236,204,173,142,111,80,49,20},-1))</f>
        <v>双鱼座</v>
      </c>
      <c r="J76" s="6"/>
      <c r="K76" s="6"/>
      <c r="L76" s="6"/>
      <c r="M76" s="6"/>
      <c r="N76" s="6"/>
      <c r="P76" t="str">
        <f t="shared" si="32"/>
        <v>["b7212"]</v>
      </c>
      <c r="Q76" t="str">
        <f t="shared" si="35"/>
        <v>b7212</v>
      </c>
      <c r="R76" s="6" t="str">
        <f t="shared" si="33"/>
        <v>陈俞含</v>
      </c>
      <c r="S76" s="13" t="s">
        <v>351</v>
      </c>
      <c r="T76" s="2">
        <f t="shared" si="36"/>
        <v>42800</v>
      </c>
      <c r="U76" s="15" t="str">
        <f t="shared" si="37"/>
        <v>2017</v>
      </c>
      <c r="V76" s="15" t="str">
        <f t="shared" si="38"/>
        <v>3</v>
      </c>
      <c r="W76" s="15" t="str">
        <f t="shared" si="39"/>
        <v>6</v>
      </c>
      <c r="X76" t="s">
        <v>33</v>
      </c>
      <c r="Y76" s="2" t="str">
        <f t="shared" si="40"/>
        <v/>
      </c>
      <c r="Z76" s="15" t="str">
        <f t="shared" si="41"/>
        <v/>
      </c>
      <c r="AA76" s="15" t="str">
        <f t="shared" si="42"/>
        <v/>
      </c>
      <c r="AB76" s="15" t="str">
        <f t="shared" si="43"/>
        <v/>
      </c>
      <c r="AC76" t="s">
        <v>33</v>
      </c>
      <c r="AD76">
        <f t="shared" si="44"/>
        <v>0</v>
      </c>
      <c r="AE76" s="17" t="str">
        <f t="shared" si="29"/>
        <v/>
      </c>
      <c r="AR76" t="s">
        <v>395</v>
      </c>
    </row>
  </sheetData>
  <autoFilter ref="A1:AU76" xr:uid="{5548FFC2-86D1-4E58-848D-9DCA1371E781}"/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919BD-DF17-44C1-8A02-2AA823128E4A}">
  <dimension ref="A2:D7"/>
  <sheetViews>
    <sheetView workbookViewId="0">
      <selection activeCell="A2" sqref="A2:D14"/>
    </sheetView>
  </sheetViews>
  <sheetFormatPr defaultRowHeight="14.25"/>
  <sheetData>
    <row r="2" spans="1:4">
      <c r="A2" t="s">
        <v>326</v>
      </c>
      <c r="B2" t="str">
        <f>IF(A2="","",CONCATENATE("""",A2,""""))</f>
        <v>"b71"</v>
      </c>
      <c r="C2" t="str">
        <f>IF(B3="",B2,B2&amp;",")</f>
        <v>"b71",</v>
      </c>
      <c r="D2" t="str">
        <f>CONCATENATE("[",C2,C3,C4,C5,C6,C7,C8,"]")</f>
        <v>["b71","b72"]</v>
      </c>
    </row>
    <row r="3" spans="1:4">
      <c r="A3" t="s">
        <v>330</v>
      </c>
      <c r="B3" t="str">
        <f t="shared" ref="B3:B7" si="0">IF(A3="","",CONCATENATE("""",A3,""""))</f>
        <v>"b72"</v>
      </c>
      <c r="C3" t="str">
        <f t="shared" ref="C3:C7" si="1">IF(B4="",B3,B3&amp;",")</f>
        <v>"b72"</v>
      </c>
    </row>
    <row r="4" spans="1:4">
      <c r="B4" t="str">
        <f t="shared" si="0"/>
        <v/>
      </c>
      <c r="C4" t="str">
        <f t="shared" si="1"/>
        <v/>
      </c>
    </row>
    <row r="5" spans="1:4">
      <c r="B5" t="str">
        <f t="shared" si="0"/>
        <v/>
      </c>
      <c r="C5" t="str">
        <f t="shared" si="1"/>
        <v/>
      </c>
    </row>
    <row r="6" spans="1:4">
      <c r="B6" t="str">
        <f t="shared" si="0"/>
        <v/>
      </c>
      <c r="C6" t="str">
        <f t="shared" si="1"/>
        <v/>
      </c>
    </row>
    <row r="7" spans="1:4">
      <c r="B7" t="str">
        <f t="shared" si="0"/>
        <v/>
      </c>
      <c r="C7" t="str">
        <f t="shared" si="1"/>
        <v/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out</vt:lpstr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2025-12-18T01:07:46Z</dcterms:created>
  <dcterms:modified xsi:type="dcterms:W3CDTF">2025-12-19T07:38:20Z</dcterms:modified>
</cp:coreProperties>
</file>